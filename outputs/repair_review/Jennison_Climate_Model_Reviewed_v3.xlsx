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c91f9e851a46c8" /></Relationships>
</file>

<file path=xl/workbook.xml><?xml version="1.0" encoding="utf-8"?>
<x:workbook xmlns:x="http://schemas.openxmlformats.org/spreadsheetml/2006/main">
  <x:sheets>
    <x:sheet xmlns:r="http://schemas.openxmlformats.org/officeDocument/2006/relationships" name="Cover" sheetId="1" r:id="R413c4949b04441a8"/>
    <x:sheet xmlns:r="http://schemas.openxmlformats.org/officeDocument/2006/relationships" name="Summary" sheetId="2" r:id="R3140cdda8f244b3a"/>
    <x:sheet xmlns:r="http://schemas.openxmlformats.org/officeDocument/2006/relationships" name="Scenario Compare" sheetId="3" r:id="Rf313e097312347d6"/>
    <x:sheet xmlns:r="http://schemas.openxmlformats.org/officeDocument/2006/relationships" name="Decision View" sheetId="4" r:id="Rd4371f721ff941b1"/>
    <x:sheet xmlns:r="http://schemas.openxmlformats.org/officeDocument/2006/relationships" name="Issuer Inputs" sheetId="5" r:id="Ra90039697fc04106"/>
    <x:sheet xmlns:r="http://schemas.openxmlformats.org/officeDocument/2006/relationships" name="Methodology Review" sheetId="6" r:id="R6a46648117244615"/>
    <x:sheet xmlns:r="http://schemas.openxmlformats.org/officeDocument/2006/relationships" name="DCF Audit" sheetId="7" r:id="R7f02e58445374b78"/>
    <x:sheet xmlns:r="http://schemas.openxmlformats.org/officeDocument/2006/relationships" name="Checks" sheetId="8" r:id="Rfd4252e086744e89"/>
    <x:sheet xmlns:r="http://schemas.openxmlformats.org/officeDocument/2006/relationships" name="Sources" sheetId="9" r:id="R6946c3a80752478a"/>
    <x:sheet xmlns:r="http://schemas.openxmlformats.org/officeDocument/2006/relationships" name="Inputs Raw" sheetId="10" r:id="R4212b373d605463d"/>
    <x:sheet xmlns:r="http://schemas.openxmlformats.org/officeDocument/2006/relationships" name="Results Raw" sheetId="11" r:id="Rcfd46c4548b14fd4"/>
    <x:sheet xmlns:r="http://schemas.openxmlformats.org/officeDocument/2006/relationships" name="Engine Repair" sheetId="12" r:id="Rf64a05fe43514ab8"/>
  </x:sheets>
</x:workbook>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quot;$&quot;#,##0;[Red](&quot;$&quot;#,##0);-"/>
    <x:numFmt numFmtId="201" formatCode="#,##0;[Red](#,##0);-"/>
    <x:numFmt numFmtId="202" formatCode="0.0000"/>
    <x:numFmt numFmtId="203" formatCode="0.0%;[Red](0.0%);-"/>
    <x:numFmt numFmtId="204" formatCode="&quot;$&quot;#,##0.0;[Red](&quot;$&quot;#,##0.0);-"/>
    <x:numFmt numFmtId="205" formatCode="0.0000%"/>
    <x:numFmt numFmtId="206" formatCode="&quot;$&quot;#,##0.000;[Red](&quot;$&quot;#,##0.000);-"/>
    <x:numFmt numFmtId="207" formatCode="0.0x"/>
    <x:numFmt numFmtId="208" formatCode="0%;[Red](0%);-"/>
    <x:numFmt numFmtId="209" formatCode="#,##0.0;[Red](#,##0.0);-"/>
    <x:numFmt numFmtId="210" formatCode="#,##0"/>
    <x:numFmt numFmtId="211" formatCode="0.00x"/>
    <x:numFmt numFmtId="212" formatCode="&quot;$&quot;#,##0.000;[Red](&quot;$&quot;#,##0.000);&quot;$&quot;0.000"/>
    <x:numFmt numFmtId="213" formatCode="0.000000"/>
    <x:numFmt numFmtId="214" formatCode="0"/>
  </x:numFmts>
  <x:fonts count="26">
    <x:font>
      <x:sz val="11"/>
      <x:name val="Carlito"/>
    </x:font>
    <x:font>
      <x:b/>
      <x:sz val="10"/>
      <x:color rgb="FFFFFFFF"/>
      <x:name val="Carlito"/>
    </x:font>
    <x:font>
      <x:sz val="9"/>
      <x:color rgb="FF008000"/>
      <x:name val="Carlito"/>
    </x:font>
    <x:font>
      <x:b/>
      <x:sz val="18"/>
      <x:color rgb="FFFFFFFF"/>
      <x:name val="Carlito"/>
    </x:font>
    <x:font>
      <x:i/>
      <x:sz val="10"/>
      <x:color rgb="FF666666"/>
      <x:name val="Carlito"/>
    </x:font>
    <x:font>
      <x:sz val="10"/>
      <x:color rgb="FF000000"/>
      <x:name val="Carlito"/>
    </x:font>
    <x:font>
      <x:b/>
      <x:sz val="11"/>
      <x:color rgb="FFFFFFFF"/>
      <x:name val="Carlito"/>
    </x:font>
    <x:font>
      <x:b/>
      <x:sz val="11"/>
      <x:color rgb="FF2E7D32"/>
      <x:name val="Carlito"/>
    </x:font>
    <x:font>
      <x:b/>
      <x:sz val="11"/>
      <x:color rgb="FF17365D"/>
      <x:name val="Carlito"/>
    </x:font>
    <x:font>
      <x:b/>
      <x:sz val="10"/>
      <x:color rgb="FF000000"/>
      <x:name val="Carlito"/>
    </x:font>
    <x:font>
      <x:i/>
      <x:sz val="11"/>
      <x:color rgb="FF7F6000"/>
      <x:name val="Carlito"/>
    </x:font>
    <x:font>
      <x:i/>
      <x:sz val="11"/>
      <x:color rgb="FF17365D"/>
      <x:name val="Carlito"/>
    </x:font>
    <x:font>
      <x:sz val="10"/>
      <x:color rgb="FF008000"/>
      <x:name val="Carlito"/>
    </x:font>
    <x:font>
      <x:sz val="10"/>
      <x:color rgb="FF17365D"/>
      <x:name val="Carlito"/>
    </x:font>
    <x:font>
      <x:sz val="9"/>
      <x:color rgb="FF000000"/>
      <x:name val="Carlito"/>
    </x:font>
    <x:font>
      <x:sz val="9"/>
      <x:color rgb="FF2F5597"/>
      <x:name val="Carlito"/>
    </x:font>
    <x:font>
      <x:b/>
      <x:sz val="14"/>
      <x:name val="Carlito"/>
    </x:font>
    <x:font>
      <x:b/>
      <x:sz val="16"/>
      <x:name val="Carlito"/>
    </x:font>
    <x:font>
      <x:b/>
      <x:sz val="10"/>
      <x:color rgb="FF17365D"/>
      <x:name val="Carlito"/>
    </x:font>
    <x:font>
      <x:b/>
      <x:sz val="11"/>
      <x:color rgb="FF000000"/>
      <x:name val="Carlito"/>
    </x:font>
    <x:font>
      <x:b/>
      <x:sz val="10"/>
      <x:color rgb="FF7F6000"/>
      <x:name val="Carlito"/>
    </x:font>
    <x:font>
      <x:i/>
      <x:sz val="11"/>
      <x:color rgb="FFFFFFFF"/>
      <x:name val="Carlito"/>
    </x:font>
    <x:font>
      <x:i/>
      <x:sz val="11"/>
      <x:color rgb="FF5F6B76"/>
      <x:name val="Carlito"/>
    </x:font>
    <x:font>
      <x:b/>
      <x:sz val="11"/>
      <x:color rgb="FF1D3F66"/>
      <x:name val="Carlito"/>
    </x:font>
    <x:font>
      <x:b/>
      <x:sz val="11"/>
      <x:color rgb="FF1D2733"/>
      <x:name val="Carlito"/>
    </x:font>
    <x:font>
      <x:b/>
      <x:sz val="11"/>
      <x:color rgb="FF8A5A00"/>
      <x:name val="Carlito"/>
    </x:font>
  </x:fonts>
  <x:fills count="15">
    <x:fill>
      <x:patternFill patternType="none"/>
    </x:fill>
    <x:fill>
      <x:patternFill patternType="gray125"/>
    </x:fill>
    <x:fill>
      <x:patternFill patternType="solid">
        <x:fgColor rgb="FF2F5597"/>
      </x:patternFill>
    </x:fill>
    <x:fill>
      <x:patternFill patternType="solid">
        <x:fgColor rgb="FF17365D"/>
      </x:patternFill>
    </x:fill>
    <x:fill>
      <x:patternFill patternType="solid">
        <x:fgColor rgb="FFEDF4FA"/>
      </x:patternFill>
    </x:fill>
    <x:fill>
      <x:patternFill patternType="solid">
        <x:fgColor rgb="FFE2F0D9"/>
      </x:patternFill>
    </x:fill>
    <x:fill>
      <x:patternFill patternType="solid">
        <x:fgColor rgb="FFD9EAF7"/>
      </x:patternFill>
    </x:fill>
    <x:fill>
      <x:patternFill patternType="solid">
        <x:fgColor rgb="FFFFF2CC"/>
      </x:patternFill>
    </x:fill>
    <x:fill>
      <x:patternFill patternType="solid">
        <x:fgColor rgb="FFD9A441"/>
      </x:patternFill>
    </x:fill>
    <x:fill>
      <x:patternFill patternType="solid">
        <x:fgColor rgb="FF1D3F66"/>
      </x:patternFill>
    </x:fill>
    <x:fill>
      <x:patternFill patternType="solid">
        <x:fgColor rgb="FFEAF2F9"/>
      </x:patternFill>
    </x:fill>
    <x:fill>
      <x:patternFill patternType="solid">
        <x:fgColor rgb="FF2F5DA8"/>
      </x:patternFill>
    </x:fill>
    <x:fill>
      <x:patternFill patternType="solid">
        <x:fgColor rgb="FFE5F2D9"/>
      </x:patternFill>
    </x:fill>
    <x:fill>
      <x:patternFill patternType="solid">
        <x:fgColor rgb="FFFFF0C2"/>
      </x:patternFill>
    </x:fill>
    <x:fill>
      <x:patternFill patternType="solid">
        <x:fgColor rgb="FFD9A83E"/>
      </x:patternFill>
    </x:fill>
  </x:fills>
  <x:borders count="13">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right style="thin">
        <x:color rgb="FFD9E1E8"/>
      </x:right>
      <x:bottom style="thin">
        <x:color rgb="FFD9E1E8"/>
      </x:bottom>
    </x:border>
    <x:border>
      <x:left style="thin">
        <x:color rgb="FFD9E1E8"/>
      </x:left>
      <x:right style="thin">
        <x:color rgb="FFD9E1E8"/>
      </x:right>
      <x:bottom style="thin">
        <x:color rgb="FFD9E1E8"/>
      </x:bottom>
    </x:border>
    <x:border>
      <x:left style="thin">
        <x:color rgb="FFD9E1E8"/>
      </x:left>
      <x:bottom style="thin">
        <x:color rgb="FFD9E1E8"/>
      </x:bottom>
    </x:border>
    <x:border>
      <x:right style="thin">
        <x:color rgb="FFD9E1E8"/>
      </x:right>
      <x:top style="thin">
        <x:color rgb="FFD9E1E8"/>
      </x:top>
      <x:bottom style="thin">
        <x:color rgb="FFD9E1E8"/>
      </x:bottom>
    </x:border>
    <x:border>
      <x:left style="thin">
        <x:color rgb="FFD9E1E8"/>
      </x:left>
      <x:right style="thin">
        <x:color rgb="FFD9E1E8"/>
      </x:right>
      <x:top style="thin">
        <x:color rgb="FFD9E1E8"/>
      </x:top>
      <x:bottom style="thin">
        <x:color rgb="FFD9E1E8"/>
      </x:bottom>
    </x:border>
    <x:border>
      <x:left style="thin">
        <x:color rgb="FFD9E1E8"/>
      </x:left>
      <x:top style="thin">
        <x:color rgb="FFD9E1E8"/>
      </x:top>
      <x:bottom style="thin">
        <x:color rgb="FFD9E1E8"/>
      </x:bottom>
    </x:border>
    <x:border>
      <x:right style="thin">
        <x:color rgb="FFD9E1E8"/>
      </x:right>
      <x:top style="thin">
        <x:color rgb="FFD9E1E8"/>
      </x:top>
    </x:border>
    <x:border>
      <x:left style="thin">
        <x:color rgb="FFD9E1E8"/>
      </x:left>
      <x:right style="thin">
        <x:color rgb="FFD9E1E8"/>
      </x:right>
      <x:top style="thin">
        <x:color rgb="FFD9E1E8"/>
      </x:top>
    </x:border>
    <x:border>
      <x:left style="thin">
        <x:color rgb="FFD9E1E8"/>
      </x:left>
      <x:top style="thin">
        <x:color rgb="FFD9E1E8"/>
      </x:top>
    </x:border>
  </x:borders>
  <x:cellStyleXfs count="1">
    <x:xf numFmtId="0" fontId="0" fillId="0" borderId="0"/>
  </x:cellStyleXfs>
  <x:cellXfs count="165">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center"/>
    </x:xf>
    <x:xf numFmtId="201" fontId="2" fillId="0" borderId="0" xfId="0" applyNumberFormat="1" applyFont="1" applyFill="1" applyBorder="1" applyAlignment="1">
      <x:alignment vertical="center"/>
    </x:xf>
    <x:xf numFmtId="202" fontId="2" fillId="0"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2" fillId="0" borderId="2" xfId="0" applyNumberFormat="1" applyFont="1" applyFill="1" applyBorder="1" applyAlignment="1">
      <x:alignment vertical="center"/>
    </x:xf>
    <x:xf numFmtId="0" fontId="2" fillId="0" borderId="3" xfId="0" applyNumberFormat="1" applyFont="1" applyFill="1" applyBorder="1" applyAlignment="1">
      <x:alignment vertical="center"/>
    </x:xf>
    <x:xf numFmtId="203" fontId="2" fillId="0" borderId="2" xfId="0" applyNumberFormat="1" applyFont="1" applyFill="1" applyBorder="1" applyAlignment="1">
      <x:alignment vertical="center"/>
    </x:xf>
    <x:xf numFmtId="203" fontId="2" fillId="0" borderId="3" xfId="0" applyNumberFormat="1" applyFont="1" applyFill="1" applyBorder="1" applyAlignment="1">
      <x:alignment vertical="center"/>
    </x:xf>
    <x:xf numFmtId="204" fontId="2" fillId="0" borderId="2" xfId="0" applyNumberFormat="1" applyFont="1" applyFill="1" applyBorder="1" applyAlignment="1">
      <x:alignment vertical="center"/>
    </x:xf>
    <x:xf numFmtId="204" fontId="2" fillId="0" borderId="3" xfId="0" applyNumberFormat="1" applyFont="1" applyFill="1" applyBorder="1" applyAlignment="1">
      <x:alignment vertical="center"/>
    </x:xf>
    <x:xf numFmtId="205" fontId="2" fillId="0" borderId="2" xfId="0" applyNumberFormat="1" applyFont="1" applyFill="1" applyBorder="1" applyAlignment="1">
      <x:alignment vertical="center"/>
    </x:xf>
    <x:xf numFmtId="205" fontId="2" fillId="0" borderId="3" xfId="0" applyNumberFormat="1" applyFont="1" applyFill="1" applyBorder="1" applyAlignment="1">
      <x:alignment vertical="center"/>
    </x:xf>
    <x:xf numFmtId="206" fontId="2" fillId="0" borderId="2" xfId="0" applyNumberFormat="1" applyFont="1" applyFill="1" applyBorder="1" applyAlignment="1">
      <x:alignment vertical="center"/>
    </x:xf>
    <x:xf numFmtId="206" fontId="2" fillId="0" borderId="3" xfId="0" applyNumberFormat="1" applyFont="1" applyFill="1" applyBorder="1" applyAlignment="1">
      <x:alignment vertical="center"/>
    </x:xf>
    <x:xf numFmtId="207" fontId="2" fillId="0" borderId="2" xfId="0" applyNumberFormat="1" applyFont="1" applyFill="1" applyBorder="1" applyAlignment="1">
      <x:alignment vertical="center"/>
    </x:xf>
    <x:xf numFmtId="207" fontId="2" fillId="0" borderId="3" xfId="0" applyNumberFormat="1" applyFont="1" applyFill="1" applyBorder="1" applyAlignment="1">
      <x:alignment vertical="center"/>
    </x:xf>
    <x:xf numFmtId="208" fontId="2" fillId="0" borderId="2" xfId="0" applyNumberFormat="1" applyFont="1" applyFill="1" applyBorder="1" applyAlignment="1">
      <x:alignment vertical="center"/>
    </x:xf>
    <x:xf numFmtId="208" fontId="2" fillId="0" borderId="3" xfId="0" applyNumberFormat="1" applyFont="1" applyFill="1" applyBorder="1" applyAlignment="1">
      <x:alignment vertical="center"/>
    </x:xf>
    <x:xf numFmtId="0" fontId="2" fillId="0" borderId="2" xfId="0" applyNumberFormat="1" applyFont="1" applyFill="1" applyBorder="1" applyAlignment="1">
      <x:alignment vertical="center" wrapText="1"/>
    </x:xf>
    <x:xf numFmtId="0" fontId="2" fillId="0" borderId="3" xfId="0" applyNumberFormat="1" applyFont="1" applyFill="1" applyBorder="1" applyAlignment="1">
      <x:alignment vertical="center" wrapText="1"/>
    </x:xf>
    <x:xf numFmtId="209" fontId="2" fillId="0" borderId="2" xfId="0" applyNumberFormat="1" applyFont="1" applyFill="1" applyBorder="1" applyAlignment="1">
      <x:alignment vertical="center"/>
    </x:xf>
    <x:xf numFmtId="209" fontId="2" fillId="0" borderId="3" xfId="0" applyNumberFormat="1" applyFont="1" applyFill="1" applyBorder="1" applyAlignment="1">
      <x:alignment vertical="center"/>
    </x:xf>
    <x:xf numFmtId="210" fontId="2" fillId="0" borderId="2" xfId="0" applyNumberFormat="1" applyFont="1" applyFill="1" applyBorder="1" applyAlignment="1">
      <x:alignment vertical="center"/>
    </x:xf>
    <x:xf numFmtId="210" fontId="2" fillId="0" borderId="3" xfId="0" applyNumberFormat="1" applyFont="1" applyFill="1" applyBorder="1" applyAlignment="1">
      <x:alignment vertical="center"/>
    </x:xf>
    <x:xf numFmtId="211" fontId="2" fillId="0" borderId="2" xfId="0" applyNumberFormat="1" applyFont="1" applyFill="1" applyBorder="1" applyAlignment="1">
      <x:alignment vertical="center"/>
    </x:xf>
    <x:xf numFmtId="211" fontId="2" fillId="0" borderId="3" xfId="0" applyNumberFormat="1" applyFont="1" applyFill="1" applyBorder="1" applyAlignment="1">
      <x:alignment vertical="center"/>
    </x:xf>
    <x:xf numFmtId="0" fontId="6" fillId="3" borderId="0"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0" fillId="6" borderId="0" xfId="0" applyNumberFormat="1" applyFont="1" applyFill="1" applyBorder="1"/>
    <x:xf numFmtId="0" fontId="8" fillId="6" borderId="0" xfId="0" applyNumberFormat="1" applyFont="1" applyFill="1" applyBorder="1"/>
    <x:xf numFmtId="0" fontId="2" fillId="0" borderId="0" xfId="0" applyNumberFormat="1" applyFont="1" applyFill="1" applyBorder="1" applyAlignment="1">
      <x:alignment horizontal="center"/>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9" fillId="0" borderId="2" xfId="0" applyNumberFormat="1" applyFont="1" applyFill="1" applyBorder="1" applyAlignment="1">
      <x:alignment vertical="center" wrapText="1"/>
    </x:xf>
    <x:xf numFmtId="0" fontId="9" fillId="0" borderId="3" xfId="0" applyNumberFormat="1" applyFont="1" applyFill="1" applyBorder="1" applyAlignment="1">
      <x:alignment vertical="center" wrapText="1"/>
    </x:xf>
    <x:xf numFmtId="0" fontId="9" fillId="0" borderId="2" xfId="0" applyNumberFormat="1" applyFont="1" applyFill="1" applyBorder="1" applyAlignment="1">
      <x:alignment horizontal="center" vertical="center" wrapText="1"/>
    </x:xf>
    <x:xf numFmtId="0" fontId="9" fillId="0" borderId="3" xfId="0" applyNumberFormat="1" applyFont="1" applyFill="1" applyBorder="1" applyAlignment="1">
      <x:alignment horizontal="center" vertical="center" wrapText="1"/>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10" fillId="7" borderId="0" xfId="0" applyNumberFormat="1" applyFont="1" applyFill="1" applyBorder="1" applyAlignment="1">
      <x:alignment vertical="center" wrapText="1"/>
    </x:xf>
    <x:xf numFmtId="212" fontId="2" fillId="0" borderId="2" xfId="0" applyNumberFormat="1" applyFont="1" applyFill="1" applyBorder="1" applyAlignment="1">
      <x:alignment vertical="center"/>
    </x:xf>
    <x:xf numFmtId="212" fontId="2" fillId="0" borderId="3" xfId="0" applyNumberFormat="1" applyFont="1" applyFill="1" applyBorder="1" applyAlignment="1">
      <x:alignment vertical="center"/>
    </x:xf>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vertical="center" wrapText="1"/>
    </x:xf>
    <x:xf numFmtId="0" fontId="12" fillId="0" borderId="2" xfId="0" applyNumberFormat="1" applyFont="1" applyFill="1" applyBorder="1" applyAlignment="1">
      <x:alignment vertical="center"/>
    </x:xf>
    <x:xf numFmtId="0" fontId="12" fillId="0" borderId="3" xfId="0" applyNumberFormat="1" applyFont="1" applyFill="1" applyBorder="1" applyAlignment="1">
      <x:alignment vertical="center"/>
    </x:xf>
    <x:xf numFmtId="203" fontId="12" fillId="0" borderId="2" xfId="0" applyNumberFormat="1" applyFont="1" applyFill="1" applyBorder="1" applyAlignment="1">
      <x:alignment vertical="center"/>
    </x:xf>
    <x:xf numFmtId="203" fontId="12" fillId="0" borderId="3" xfId="0" applyNumberFormat="1" applyFont="1" applyFill="1" applyBorder="1" applyAlignment="1">
      <x:alignment vertical="center"/>
    </x:xf>
    <x:xf numFmtId="204" fontId="12" fillId="0" borderId="2" xfId="0" applyNumberFormat="1" applyFont="1" applyFill="1" applyBorder="1" applyAlignment="1">
      <x:alignment vertical="center"/>
    </x:xf>
    <x:xf numFmtId="204" fontId="12" fillId="0" borderId="3" xfId="0" applyNumberFormat="1" applyFont="1" applyFill="1" applyBorder="1" applyAlignment="1">
      <x:alignment vertical="center"/>
    </x:xf>
    <x:xf numFmtId="208" fontId="12" fillId="0" borderId="2" xfId="0" applyNumberFormat="1" applyFont="1" applyFill="1" applyBorder="1" applyAlignment="1">
      <x:alignment vertical="center"/>
    </x:xf>
    <x:xf numFmtId="208" fontId="12" fillId="0" borderId="3" xfId="0" applyNumberFormat="1" applyFont="1" applyFill="1" applyBorder="1" applyAlignment="1">
      <x:alignment vertical="center"/>
    </x:xf>
    <x:xf numFmtId="0" fontId="6" fillId="3" borderId="0" xfId="0" applyNumberFormat="1" applyFont="1" applyFill="1" applyBorder="1" applyAlignment="1">
      <x:alignment horizontal="left"/>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vertical="center" wrapText="1"/>
    </x:xf>
    <x:xf numFmtId="0" fontId="6" fillId="2" borderId="0" xfId="0" applyNumberFormat="1" applyFont="1" applyFill="1" applyBorder="1"/>
    <x:xf numFmtId="0" fontId="14" fillId="0" borderId="2" xfId="0" applyNumberFormat="1" applyFont="1" applyFill="1" applyBorder="1" applyAlignment="1">
      <x:alignment vertical="center"/>
    </x:xf>
    <x:xf numFmtId="0" fontId="14" fillId="0" borderId="3" xfId="0" applyNumberFormat="1" applyFont="1" applyFill="1" applyBorder="1" applyAlignment="1">
      <x:alignment vertical="center"/>
    </x:xf>
    <x:xf numFmtId="0" fontId="15" fillId="0" borderId="2" xfId="0" applyNumberFormat="1" applyFont="1" applyFill="1" applyBorder="1" applyAlignment="1">
      <x:alignment vertical="center"/>
    </x:xf>
    <x:xf numFmtId="0" fontId="15" fillId="0" borderId="3" xfId="0" applyNumberFormat="1" applyFont="1" applyFill="1" applyBorder="1" applyAlignment="1">
      <x:alignment vertical="center"/>
    </x:xf>
    <x:xf numFmtId="0" fontId="15" fillId="0" borderId="2" xfId="0" applyNumberFormat="1" applyFont="1" applyFill="1" applyBorder="1" applyAlignment="1">
      <x:alignment vertical="center" wrapText="1"/>
    </x:xf>
    <x:xf numFmtId="0" fontId="15" fillId="0" borderId="3" xfId="0" applyNumberFormat="1" applyFont="1" applyFill="1" applyBorder="1" applyAlignment="1">
      <x:alignment vertical="center" wrapText="1"/>
    </x:xf>
    <x:xf numFmtId="213" fontId="5" fillId="0" borderId="2" xfId="0" applyNumberFormat="1" applyFont="1" applyFill="1" applyBorder="1" applyAlignment="1">
      <x:alignment vertical="center"/>
    </x:xf>
    <x:xf numFmtId="213" fontId="5" fillId="0" borderId="3" xfId="0" applyNumberFormat="1" applyFont="1" applyFill="1" applyBorder="1" applyAlignment="1">
      <x:alignment vertical="center"/>
    </x:xf>
    <x:xf numFmtId="214" fontId="5" fillId="0" borderId="2" xfId="0" applyNumberFormat="1" applyFont="1" applyFill="1" applyBorder="1" applyAlignment="1">
      <x:alignment vertical="center"/>
    </x:xf>
    <x:xf numFmtId="214" fontId="5" fillId="0" borderId="3" xfId="0" applyNumberFormat="1" applyFont="1" applyFill="1" applyBorder="1" applyAlignment="1">
      <x:alignment vertical="center"/>
    </x:xf>
    <x:xf numFmtId="0" fontId="16" fillId="0" borderId="0" xfId="0" applyNumberFormat="1" applyFont="1" applyFill="1" applyBorder="1"/>
    <x:xf numFmtId="0" fontId="16" fillId="0" borderId="0" xfId="0" applyNumberFormat="1" applyFont="1" applyFill="1" applyBorder="1" applyAlignment="1">
      <x:alignment horizontal="center"/>
    </x:xf>
    <x:xf numFmtId="0" fontId="17" fillId="0" borderId="0" xfId="0" applyNumberFormat="1" applyFont="1" applyFill="1" applyBorder="1"/>
    <x:xf numFmtId="0" fontId="17" fillId="0" borderId="0" xfId="0" applyNumberFormat="1" applyFont="1" applyFill="1" applyBorder="1" applyAlignment="1">
      <x:alignment horizont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18" fillId="4" borderId="2" xfId="0" applyNumberFormat="1" applyFont="1" applyFill="1" applyBorder="1" applyAlignment="1">
      <x:alignment vertical="center"/>
    </x:xf>
    <x:xf numFmtId="0" fontId="18" fillId="4" borderId="3" xfId="0" applyNumberFormat="1" applyFont="1" applyFill="1" applyBorder="1" applyAlignment="1">
      <x:alignment vertical="center"/>
    </x:xf>
    <x:xf numFmtId="0" fontId="18" fillId="4" borderId="2" xfId="0" applyNumberFormat="1" applyFont="1" applyFill="1" applyBorder="1" applyAlignment="1">
      <x:alignment horizontal="center" vertical="center"/>
    </x:xf>
    <x:xf numFmtId="0" fontId="18" fillId="4" borderId="3" xfId="0" applyNumberFormat="1" applyFont="1" applyFill="1" applyBorder="1" applyAlignment="1">
      <x:alignment horizontal="center" vertical="center"/>
    </x:xf>
    <x:xf numFmtId="0" fontId="18" fillId="0" borderId="2" xfId="0" applyNumberFormat="1" applyFont="1" applyFill="1" applyBorder="1" applyAlignment="1">
      <x:alignment vertical="center"/>
    </x:xf>
    <x:xf numFmtId="0" fontId="18" fillId="0" borderId="3" xfId="0" applyNumberFormat="1" applyFont="1" applyFill="1" applyBorder="1" applyAlignment="1">
      <x:alignment vertical="center"/>
    </x:xf>
    <x:xf numFmtId="0" fontId="0" fillId="8" borderId="0" xfId="0" applyNumberFormat="1" applyFont="1" applyFill="1" applyBorder="1"/>
    <x:xf numFmtId="0" fontId="19" fillId="8" borderId="0" xfId="0" applyNumberFormat="1" applyFont="1" applyFill="1" applyBorder="1"/>
    <x:xf numFmtId="0" fontId="5" fillId="7" borderId="2" xfId="0" applyNumberFormat="1" applyFont="1" applyFill="1" applyBorder="1" applyAlignment="1">
      <x:alignment vertical="center"/>
    </x:xf>
    <x:xf numFmtId="0" fontId="5" fillId="7" borderId="3" xfId="0" applyNumberFormat="1" applyFont="1" applyFill="1" applyBorder="1" applyAlignment="1">
      <x:alignment vertical="center"/>
    </x:xf>
    <x:xf numFmtId="0" fontId="20" fillId="7" borderId="2" xfId="0" applyNumberFormat="1" applyFont="1" applyFill="1" applyBorder="1" applyAlignment="1">
      <x:alignment vertical="center"/>
    </x:xf>
    <x:xf numFmtId="0" fontId="20" fillId="7" borderId="3" xfId="0" applyNumberFormat="1" applyFont="1" applyFill="1" applyBorder="1" applyAlignment="1">
      <x:alignment vertical="center"/>
    </x:xf>
    <x:xf numFmtId="0" fontId="21" fillId="3" borderId="0" xfId="0" applyNumberFormat="1" applyFont="1" applyFill="1" applyBorder="1"/>
    <x:xf numFmtId="0" fontId="21" fillId="3" borderId="0" xfId="0" applyNumberFormat="1" applyFont="1" applyFill="1" applyBorder="1" applyAlignment="1">
      <x:alignment wrapText="1"/>
    </x:xf>
    <x:xf numFmtId="0" fontId="21" fillId="3"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0" fillId="10" borderId="0" xfId="0" applyNumberFormat="1" applyFont="1" applyFill="1" applyBorder="1"/>
    <x:xf numFmtId="0" fontId="22" fillId="10" borderId="0" xfId="0" applyNumberFormat="1" applyFont="1" applyFill="1" applyBorder="1"/>
    <x:xf numFmtId="0" fontId="22" fillId="10" borderId="0" xfId="0" applyNumberFormat="1" applyFont="1" applyFill="1" applyBorder="1" applyAlignment="1">
      <x:alignment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3" fillId="0" borderId="4" xfId="0" applyNumberFormat="1" applyFont="1" applyFill="1" applyBorder="1" applyAlignment="1">
      <x:alignment vertical="top" wrapText="1"/>
    </x:xf>
    <x:xf numFmtId="0" fontId="23" fillId="0" borderId="7" xfId="0" applyNumberFormat="1" applyFont="1" applyFill="1" applyBorder="1" applyAlignment="1">
      <x:alignment vertical="top" wrapText="1"/>
    </x:xf>
    <x:xf numFmtId="0" fontId="23" fillId="0" borderId="10" xfId="0" applyNumberFormat="1" applyFont="1" applyFill="1" applyBorder="1" applyAlignment="1">
      <x:alignment vertical="top" wrapText="1"/>
    </x:xf>
    <x:xf numFmtId="0" fontId="0" fillId="12" borderId="5" xfId="0" applyNumberFormat="1" applyFont="1" applyFill="1" applyBorder="1" applyAlignment="1">
      <x:alignment vertical="top" wrapText="1"/>
    </x:xf>
    <x:xf numFmtId="0" fontId="0" fillId="12" borderId="8" xfId="0" applyNumberFormat="1" applyFont="1" applyFill="1" applyBorder="1" applyAlignment="1">
      <x:alignment vertical="top" wrapText="1"/>
    </x:xf>
    <x:xf numFmtId="0" fontId="0" fillId="12" borderId="11" xfId="0" applyNumberFormat="1" applyFont="1" applyFill="1" applyBorder="1" applyAlignment="1">
      <x:alignment vertical="top" wrapText="1"/>
    </x:xf>
    <x:xf numFmtId="0" fontId="0" fillId="13" borderId="5" xfId="0" applyNumberFormat="1" applyFont="1" applyFill="1" applyBorder="1" applyAlignment="1">
      <x:alignment vertical="top" wrapText="1"/>
    </x:xf>
    <x:xf numFmtId="0" fontId="0" fillId="13" borderId="8" xfId="0" applyNumberFormat="1" applyFont="1" applyFill="1" applyBorder="1" applyAlignment="1">
      <x:alignment vertical="top" wrapText="1"/>
    </x:xf>
    <x:xf numFmtId="0" fontId="0" fillId="13" borderId="11" xfId="0" applyNumberFormat="1" applyFont="1" applyFill="1" applyBorder="1" applyAlignment="1">
      <x:alignment vertical="top" wrapText="1"/>
    </x:xf>
    <x:xf numFmtId="0" fontId="0" fillId="14" borderId="0" xfId="0" applyNumberFormat="1" applyFont="1" applyFill="1" applyBorder="1"/>
    <x:xf numFmtId="0" fontId="24" fillId="14" borderId="0" xfId="0" applyNumberFormat="1" applyFont="1" applyFill="1" applyBorder="1"/>
    <x:xf numFmtId="0" fontId="0" fillId="13" borderId="0" xfId="0" applyNumberFormat="1" applyFont="1" applyFill="1" applyBorder="1"/>
    <x:xf numFmtId="0" fontId="25" fillId="13" borderId="0" xfId="0" applyNumberFormat="1" applyFont="1" applyFill="1" applyBorder="1"/>
    <x:xf numFmtId="0" fontId="25" fillId="13" borderId="0" xfId="0" applyNumberFormat="1" applyFont="1" applyFill="1" applyBorder="1" applyAlignment="1">
      <x:alignment wrapText="1"/>
    </x:xf>
  </x:cellXfs>
  <x:cellStyles count="1">
    <x:cellStyle name="Normal" xfId="0"/>
  </x:cellStyles>
  <x:dxfs count="66">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C00000"/>
      </x:font>
      <x:fill>
        <x:patternFill>
          <x:bgColor rgb="FFFCE4D6"/>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C00000"/>
      </x:font>
      <x:fill>
        <x:patternFill>
          <x:bgColor rgb="FFFCE4D6"/>
        </x:patternFill>
      </x:fill>
    </x:dxf>
    <x:dxf>
      <x:font>
        <x:b/>
        <x:color rgb="FF9C65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464c63644849bc" /><Relationship Type="http://schemas.openxmlformats.org/officeDocument/2006/relationships/theme" Target="/xl/theme/theme1.xml" Id="R035b1e0da4e14d28" /><Relationship Type="http://schemas.microsoft.com/office/2022/11/relationships/FeaturePropertyBag" Target="/xl/featurePropertyBag/featurePropertyBag.xml" Id="Re94a451089924c5f" /><Relationship Type="http://schemas.openxmlformats.org/officeDocument/2006/relationships/sharedStrings" Target="/xl/sharedStrings.xml" Id="Recb80954d09642be" /><Relationship Type="http://schemas.openxmlformats.org/officeDocument/2006/relationships/worksheet" Target="/xl/worksheets/sheet1.xml" Id="R413c4949b04441a8" /><Relationship Type="http://schemas.openxmlformats.org/officeDocument/2006/relationships/worksheet" Target="/xl/worksheets/sheet2.xml" Id="R3140cdda8f244b3a" /><Relationship Type="http://schemas.openxmlformats.org/officeDocument/2006/relationships/worksheet" Target="/xl/worksheets/sheet3.xml" Id="Rf313e097312347d6" /><Relationship Type="http://schemas.openxmlformats.org/officeDocument/2006/relationships/worksheet" Target="/xl/worksheets/sheet4.xml" Id="Rd4371f721ff941b1" /><Relationship Type="http://schemas.openxmlformats.org/officeDocument/2006/relationships/worksheet" Target="/xl/worksheets/sheet5.xml" Id="Ra90039697fc04106" /><Relationship Type="http://schemas.openxmlformats.org/officeDocument/2006/relationships/worksheet" Target="/xl/worksheets/sheet6.xml" Id="R6a46648117244615" /><Relationship Type="http://schemas.openxmlformats.org/officeDocument/2006/relationships/worksheet" Target="/xl/worksheets/sheet7.xml" Id="R7f02e58445374b78" /><Relationship Type="http://schemas.openxmlformats.org/officeDocument/2006/relationships/worksheet" Target="/xl/worksheets/sheet8.xml" Id="Rfd4252e086744e89" /><Relationship Type="http://schemas.openxmlformats.org/officeDocument/2006/relationships/worksheet" Target="/xl/worksheets/sheet9.xml" Id="R6946c3a80752478a" /><Relationship Type="http://schemas.openxmlformats.org/officeDocument/2006/relationships/worksheet" Target="/xl/worksheets/sheet10.xml" Id="R4212b373d605463d" /><Relationship Type="http://schemas.openxmlformats.org/officeDocument/2006/relationships/worksheet" Target="/xl/worksheets/sheet11.xml" Id="Rcfd46c4548b14fd4" /><Relationship Type="http://schemas.openxmlformats.org/officeDocument/2006/relationships/worksheet" Target="/xl/worksheets/sheet12.xml" Id="Rf64a05fe43514ab8" /></Relationships>
</file>

<file path=xl/drawings/_rels/drawing1.xml.rels>&#65279;<?xml version="1.0" encoding="utf-8"?><Relationships xmlns="http://schemas.openxmlformats.org/package/2006/relationships"><Relationship Type="http://schemas.openxmlformats.org/officeDocument/2006/relationships/chart" Target="/xl/drawings/charts/chart1.xml" Id="Rfbfb95a869ef4e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Policies vs baseline: Low / Base / High EV impact</a:t>
            </a:r>
          </a:p>
        </c:rich>
      </c:tx>
      <c:overlay val="0"/>
    </c:title>
    <c:plotArea>
      <c:barChart>
        <c:barDir val="col"/>
        <c:varyColors val="0"/>
        <c:ser>
          <c:idx val="0"/>
          <c:order val="0"/>
          <c:tx>
            <c:v>Low</c:v>
          </c:tx>
          <c:cat>
            <c:strRef>
              <c:f>'Summary'!$A$5:$A$12</c:f>
              <c:strCache>
                <c:ptCount val="0"/>
              </c:strCache>
            </c:strRef>
          </c:cat>
          <c:val>
            <c:numRef>
              <c:f>'Summary'!$B$5:$B$12</c:f>
              <c:numCache>
                <c:formatCode>0.0%;[Red](0.0%);-</c:formatCode>
                <c:ptCount val="0"/>
              </c:numCache>
            </c:numRef>
          </c:val>
        </c:ser>
        <c:ser>
          <c:idx val="1"/>
          <c:order val="1"/>
          <c:tx>
            <c:v>Base</c:v>
          </c:tx>
          <c:cat>
            <c:strRef>
              <c:f>'Summary'!$A$5:$A$12</c:f>
              <c:strCache>
                <c:ptCount val="0"/>
              </c:strCache>
            </c:strRef>
          </c:cat>
          <c:val>
            <c:numRef>
              <c:f>'Summary'!$C$5:$C$12</c:f>
              <c:numCache>
                <c:formatCode>0.0%;[Red](0.0%);-</c:formatCode>
                <c:ptCount val="0"/>
              </c:numCache>
            </c:numRef>
          </c:val>
        </c:ser>
        <c:ser>
          <c:idx val="2"/>
          <c:order val="2"/>
          <c:tx>
            <c:v>High</c:v>
          </c:tx>
          <c:cat>
            <c:strRef>
              <c:f>'Summary'!$A$5:$A$12</c:f>
              <c:strCache>
                <c:ptCount val="0"/>
              </c:strCache>
            </c:strRef>
          </c:cat>
          <c:val>
            <c:numRef>
              <c:f>'Summary'!$D$5:$D$12</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fb95a869ef4e7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6ea726929e0c41d4"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8" hidden="0" customWidth="1"/>
    <x:col min="4" max="4" width="18" hidden="0" customWidth="1"/>
    <x:col min="5" max="5" width="18" hidden="0" customWidth="1"/>
    <x:col min="6" max="6" width="18" hidden="0" customWidth="1"/>
    <x:col min="7" max="7" width="20" hidden="0" customWidth="1"/>
    <x:col min="8" max="8" width="20" hidden="0" customWidth="1"/>
  </x:cols>
  <x:sheetData>
    <x:row r="1" ht="30" customHeight="1">
      <x:c r="A1" s="18" t="str">
        <x:v>Jennison Climate-Finance Model - engine-repair review v3</x:v>
      </x:c>
      <x:c r="B1" s="18"/>
      <x:c r="C1" s="18"/>
      <x:c r="D1" s="18"/>
      <x:c r="E1" s="18"/>
      <x:c r="F1" s="18"/>
      <x:c r="G1" s="18"/>
      <x:c r="H1" s="18"/>
    </x:row>
    <x:row r="2" ht="28" customHeight="1">
      <x:c r="A2" s="22" t="str">
        <x:v>The original calculation engine is available in the local project. v3 integrates the repair review into the engine, API, client disclosure and calculation workflow while keeping unsupported calibration inputs as clearly labelled prototype demonstration assumptions.</x:v>
      </x:c>
      <x:c r="B2" s="22"/>
      <x:c r="C2" s="22"/>
      <x:c r="D2" s="22"/>
      <x:c r="E2" s="22"/>
      <x:c r="F2" s="22"/>
      <x:c r="G2" s="22"/>
      <x:c r="H2" s="22"/>
    </x:row>
    <x:row r="4">
      <x:c r="A4" s="50" t="str">
        <x:v>MODEL STATUS</x:v>
      </x:c>
      <x:c r="B4" s="50" t="str">
        <x:v>MODEL STATUS</x:v>
      </x:c>
      <x:c r="C4" s="98" t="str">
        <x:f>'Checks'!C23</x:f>
        <x:v>LIMITED</x:v>
      </x:c>
      <x:c r="D4" s="98"/>
      <x:c r="E4" s="50" t="str">
        <x:v>RELEASE ID</x:v>
      </x:c>
      <x:c r="F4" s="50" t="str">
        <x:v>RELEASE ID</x:v>
      </x:c>
      <x:c r="G4" s="56" t="str">
        <x:f>'Inputs Raw'!C2</x:f>
        <x:v>CFP-2026-003-R17-20260804T234500Z</x:v>
      </x:c>
      <x:c r="H4" s="56"/>
    </x:row>
    <x:row r="7">
      <x:c r="A7" s="84" t="str">
        <x:v>Engine repairs implemented</x:v>
      </x:c>
      <x:c r="B7" s="84"/>
      <x:c r="C7" s="84"/>
      <x:c r="D7" s="84"/>
      <x:c r="E7" s="84"/>
      <x:c r="F7" s="84"/>
      <x:c r="G7" s="84"/>
      <x:c r="H7" s="84"/>
    </x:row>
    <x:row r="8" ht="36" customHeight="1">
      <x:c r="A8" s="103" t="n">
        <x:v>1</x:v>
      </x:c>
      <x:c r="B8" s="105" t="str">
        <x:v>Transition difference</x:v>
      </x:c>
      <x:c r="C8" s="57" t="str">
        <x:v>Target net emissions-price cost less reference net emissions-price cost is exposed annually; pass-through is applied once.</x:v>
      </x:c>
      <x:c r="D8" s="57"/>
      <x:c r="E8" s="57"/>
      <x:c r="F8" s="57"/>
      <x:c r="G8" s="57"/>
      <x:c r="H8" s="57"/>
    </x:row>
    <x:row r="9" ht="36" customHeight="1">
      <x:c r="A9" s="104" t="n">
        <x:v>2</x:v>
      </x:c>
      <x:c r="B9" s="106" t="str">
        <x:v>Annual audit path</x:v>
      </x:c>
      <x:c r="C9" s="58" t="str">
        <x:v>The API now returns yearly baseline FCFF, three pressure pillars, pre-floor and post-floor FCFF, discount factors and present values.</x:v>
      </x:c>
      <x:c r="D9" s="58"/>
      <x:c r="E9" s="58"/>
      <x:c r="F9" s="58"/>
      <x:c r="G9" s="58"/>
      <x:c r="H9" s="58"/>
    </x:row>
    <x:row r="10" ht="36" customHeight="1">
      <x:c r="A10" s="104" t="n">
        <x:v>3</x:v>
      </x:c>
      <x:c r="B10" s="106" t="str">
        <x:v>FCFF basis</x:v>
      </x:c>
      <x:c r="C10" s="58" t="str">
        <x:v>CFO - CapEx + after-tax interest is labelled an internally calculated unlevered-FCFF approximation; maintenance-CapEx substitution is a demo assumption.</x:v>
      </x:c>
      <x:c r="D10" s="58"/>
      <x:c r="E10" s="58"/>
      <x:c r="F10" s="58"/>
      <x:c r="G10" s="58"/>
      <x:c r="H10" s="58"/>
    </x:row>
    <x:row r="11" ht="36" customHeight="1">
      <x:c r="A11" s="104" t="n">
        <x:v>4</x:v>
      </x:c>
      <x:c r="B11" s="106" t="str">
        <x:v>Decision boundary</x:v>
      </x:c>
      <x:c r="C11" s="58" t="str">
        <x:v>Symmetric EV difference, EV dollar delta, floor/unapplied cost, denominator sensitivity, proxy use and ranking status are explicit.</x:v>
      </x:c>
      <x:c r="D11" s="58"/>
      <x:c r="E11" s="58"/>
      <x:c r="F11" s="58"/>
      <x:c r="G11" s="58"/>
      <x:c r="H11" s="58"/>
    </x:row>
    <x:row r="12" ht="36" customHeight="1">
      <x:c r="A12" s="104" t="n">
        <x:v>5</x:v>
      </x:c>
      <x:c r="B12" s="106" t="str">
        <x:v>Equity bridge</x:v>
      </x:c>
      <x:c r="C12" s="58" t="str">
        <x:v>Outputs stop at enterprise value. Equity value and share-price impact remain Not calculable until governed bridge inputs exist.</x:v>
      </x:c>
      <x:c r="D12" s="58"/>
      <x:c r="E12" s="58"/>
      <x:c r="F12" s="58"/>
      <x:c r="G12" s="58"/>
      <x:c r="H12" s="58"/>
    </x:row>
    <x:row r="15">
      <x:c r="A15" s="108" t="str">
        <x:v>Remaining prototype demonstration assumptions - not issuer-observed</x:v>
      </x:c>
      <x:c r="B15" s="108"/>
      <x:c r="C15" s="108"/>
      <x:c r="D15" s="108"/>
      <x:c r="E15" s="108"/>
      <x:c r="F15" s="108"/>
      <x:c r="G15" s="108"/>
      <x:c r="H15" s="108"/>
    </x:row>
    <x:row r="16" ht="46" customHeight="1">
      <x:c r="A16" s="111" t="str">
        <x:v>Policy incidence / pass-through</x:v>
      </x:c>
      <x:c r="B16" s="57" t="str">
        <x:v>Coverage, free allocation/economic incidence and customer pass-through remain Low/Base/High demonstration assumptions.</x:v>
      </x:c>
      <x:c r="C16" s="57"/>
      <x:c r="D16" s="57"/>
      <x:c r="E16" s="57"/>
      <x:c r="F16" s="57"/>
      <x:c r="G16" s="57"/>
      <x:c r="H16" s="57"/>
    </x:row>
    <x:row r="17" ht="46" customHeight="1">
      <x:c r="A17" s="112" t="str">
        <x:v>Physical conversion</x:v>
      </x:c>
      <x:c r="B17" s="58" t="str">
        <x:v>Covered PP&amp;E, acute scenario scaling, resilience/recovery and chronic financial conversion remain demonstration assumptions.</x:v>
      </x:c>
      <x:c r="C17" s="58"/>
      <x:c r="D17" s="58"/>
      <x:c r="E17" s="58"/>
      <x:c r="F17" s="58"/>
      <x:c r="G17" s="58"/>
      <x:c r="H17" s="58"/>
    </x:row>
    <x:row r="18" ht="46" customHeight="1">
      <x:c r="A18" s="112" t="str">
        <x:v>Macro transmission</x:v>
      </x:c>
      <x:c r="B18" s="58" t="str">
        <x:v>The common macro elasticity and the CapEx/CFO dependency transformation are demonstration assumptions.</x:v>
      </x:c>
      <x:c r="C18" s="58"/>
      <x:c r="D18" s="58"/>
      <x:c r="E18" s="58"/>
      <x:c r="F18" s="58"/>
      <x:c r="G18" s="58"/>
      <x:c r="H18" s="58"/>
    </x:row>
    <x:row r="19" ht="46" customHeight="1">
      <x:c r="A19" s="112" t="str">
        <x:v>Forecast / terminal growth</x:v>
      </x:c>
      <x:c r="B19" s="58" t="str">
        <x:v>The annual reference-FCFF growth path, ERP and terminal growth remain demonstration assumptions rather than issuer guidance.</x:v>
      </x:c>
      <x:c r="C19" s="58"/>
      <x:c r="D19" s="58"/>
      <x:c r="E19" s="58"/>
      <x:c r="F19" s="58"/>
      <x:c r="G19" s="58"/>
      <x:c r="H19" s="58"/>
    </x:row>
    <x:row r="20" ht="46" customHeight="1">
      <x:c r="A20" s="112" t="str">
        <x:v>Facility fallback</x:v>
      </x:c>
      <x:c r="B20" s="58" t="str">
        <x:v>AAPL/MSFT use a cross-issuer FEMA fallback and are EXCLUDE for ordinary issuer ranking.</x:v>
      </x:c>
      <x:c r="C20" s="58"/>
      <x:c r="D20" s="58"/>
      <x:c r="E20" s="58"/>
      <x:c r="F20" s="58"/>
      <x:c r="G20" s="58"/>
      <x:c r="H20" s="58"/>
    </x:row>
    <x:row r="21" ht="46" customHeight="1">
      <x:c r="A21" s="112" t="str">
        <x:v>Enterprise-to-equity</x:v>
      </x:c>
      <x:c r="B21" s="58" t="str">
        <x:v>Cash, net debt bridge adjustments, leases, pensions, minority interest, non-operating assets and diluted shares are not governed.</x:v>
      </x:c>
      <x:c r="C21" s="58"/>
      <x:c r="D21" s="58"/>
      <x:c r="E21" s="58"/>
      <x:c r="F21" s="58"/>
      <x:c r="G21" s="58"/>
      <x:c r="H21" s="58"/>
    </x:row>
    <x:row r="22" ht="46" customHeight="1">
      <x:c r="A22" s="112" t="str">
        <x:v>Permitted interpretation</x:v>
      </x:c>
      <x:c r="B22" s="58" t="str">
        <x:v>Conditional enterprise-value sensitivity for prototype demonstration; not a price target, return forecast, probability or production Climate VaR.</x:v>
      </x:c>
      <x:c r="C22" s="58"/>
      <x:c r="D22" s="58"/>
      <x:c r="E22" s="58"/>
      <x:c r="F22" s="58"/>
      <x:c r="G22" s="58"/>
      <x:c r="H22" s="58"/>
    </x:row>
    <x:row r="25">
      <x:c r="A25" s="115" t="str">
        <x:v>Recommended use: compare conditional scenario impacts, inspect the low/base/high conversion range, and use the decision flags before ranking. Do not treat this workbook as an audited valuation, price target, return forecast or probability distribution.</x:v>
      </x:c>
      <x:c r="B25" s="115" t="str">
        <x:v>Recommended use: compare conditional scenario impacts, inspect the low/base/high conversion range, and use the decision flags before ranking. Do not treat this workbook as an audited valuation, price target, return forecast or probability distribution.</x:v>
      </x:c>
      <x:c r="C25" s="115" t="str">
        <x:v>Recommended use: compare conditional scenario impacts, inspect the low/base/high conversion range, and use the decision flags before ranking. Do not treat this workbook as an audited valuation, price target, return forecast or probability distribution.</x:v>
      </x:c>
      <x:c r="D25" s="115" t="str">
        <x:v>Recommended use: compare conditional scenario impacts, inspect the low/base/high conversion range, and use the decision flags before ranking. Do not treat this workbook as an audited valuation, price target, return forecast or probability distribution.</x:v>
      </x:c>
      <x:c r="E25" s="115" t="str">
        <x:v>Recommended use: compare conditional scenario impacts, inspect the low/base/high conversion range, and use the decision flags before ranking. Do not treat this workbook as an audited valuation, price target, return forecast or probability distribution.</x:v>
      </x:c>
      <x:c r="F25" s="115" t="str">
        <x:v>Recommended use: compare conditional scenario impacts, inspect the low/base/high conversion range, and use the decision flags before ranking. Do not treat this workbook as an audited valuation, price target, return forecast or probability distribution.</x:v>
      </x:c>
      <x:c r="G25" s="115" t="str">
        <x:v>Recommended use: compare conditional scenario impacts, inspect the low/base/high conversion range, and use the decision flags before ranking. Do not treat this workbook as an audited valuation, price target, return forecast or probability distribution.</x:v>
      </x:c>
      <x:c r="H25" s="115" t="str">
        <x:v>Recommended use: compare conditional scenario impacts, inspect the low/base/high conversion range, and use the decision flags before ranking. Do not treat this workbook as an audited valuation, price target, return forecast or probability distribution.</x:v>
      </x:c>
    </x:row>
    <x:row r="26">
      <x:c r="A26" s="115" t="str">
        <x:v>Recommended use: compare conditional scenario impacts, inspect the low/base/high conversion range, and use the decision flags before ranking. Do not treat this workbook as an audited valuation, price target, return forecast or probability distribution.</x:v>
      </x:c>
      <x:c r="B26" s="115" t="str">
        <x:v>Recommended use: compare conditional scenario impacts, inspect the low/base/high conversion range, and use the decision flags before ranking. Do not treat this workbook as an audited valuation, price target, return forecast or probability distribution.</x:v>
      </x:c>
      <x:c r="C26" s="115" t="str">
        <x:v>Recommended use: compare conditional scenario impacts, inspect the low/base/high conversion range, and use the decision flags before ranking. Do not treat this workbook as an audited valuation, price target, return forecast or probability distribution.</x:v>
      </x:c>
      <x:c r="D26" s="115" t="str">
        <x:v>Recommended use: compare conditional scenario impacts, inspect the low/base/high conversion range, and use the decision flags before ranking. Do not treat this workbook as an audited valuation, price target, return forecast or probability distribution.</x:v>
      </x:c>
      <x:c r="E26" s="115" t="str">
        <x:v>Recommended use: compare conditional scenario impacts, inspect the low/base/high conversion range, and use the decision flags before ranking. Do not treat this workbook as an audited valuation, price target, return forecast or probability distribution.</x:v>
      </x:c>
      <x:c r="F26" s="115" t="str">
        <x:v>Recommended use: compare conditional scenario impacts, inspect the low/base/high conversion range, and use the decision flags before ranking. Do not treat this workbook as an audited valuation, price target, return forecast or probability distribution.</x:v>
      </x:c>
      <x:c r="G26" s="115" t="str">
        <x:v>Recommended use: compare conditional scenario impacts, inspect the low/base/high conversion range, and use the decision flags before ranking. Do not treat this workbook as an audited valuation, price target, return forecast or probability distribution.</x:v>
      </x:c>
      <x:c r="H26" s="115" t="str">
        <x:v>Recommended use: compare conditional scenario impacts, inspect the low/base/high conversion range, and use the decision flags before ranking. Do not treat this workbook as an audited valuation, price target, return forecast or probability distribution.</x:v>
      </x:c>
    </x:row>
  </x:sheetData>
  <x:mergeCells>
    <x:mergeCell ref="A1:H1"/>
    <x:mergeCell ref="A2:H2"/>
    <x:mergeCell ref="A4:B4"/>
    <x:mergeCell ref="C4:D4"/>
    <x:mergeCell ref="E4:F4"/>
    <x:mergeCell ref="G4:H4"/>
    <x:mergeCell ref="A7:H7"/>
    <x:mergeCell ref="C8:H8"/>
    <x:mergeCell ref="C9:H9"/>
    <x:mergeCell ref="C10:H10"/>
    <x:mergeCell ref="C11:H11"/>
    <x:mergeCell ref="C12:H12"/>
    <x:mergeCell ref="A15:H15"/>
    <x:mergeCell ref="B16:H16"/>
    <x:mergeCell ref="B17:H17"/>
    <x:mergeCell ref="B18:H18"/>
    <x:mergeCell ref="B19:H19"/>
    <x:mergeCell ref="B20:H20"/>
    <x:mergeCell ref="B21:H21"/>
    <x:mergeCell ref="B22:H22"/>
    <x:mergeCell ref="A25:H26"/>
  </x:mergeCells>
  <x:conditionalFormatting sqref="C4:D4">
    <x:cfRule type="containsText" dxfId="59" priority="1" operator="containsText" text="OK"/>
    <x:cfRule type="containsText" dxfId="60" priority="2" operator="containsText" text="RANKABLE"/>
    <x:cfRule type="containsText" dxfId="61" priority="3" operator="containsText" text="CAUTION"/>
    <x:cfRule type="containsText" dxfId="62" priority="4" operator="containsText" text="WARN"/>
    <x:cfRule type="containsText" dxfId="63" priority="5" operator="containsText" text="EXCLUDE"/>
    <x:cfRule type="containsText" dxfId="64" priority="6" operator="containsText" text="FAIL"/>
    <x:cfRule type="containsText" dxfId="65" priority="7" operator="containsText" text="LIMIT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1" hidden="0" customWidth="1"/>
    <x:col min="4" max="4" width="11" hidden="0" customWidth="1"/>
    <x:col min="5" max="5" width="14" hidden="0" customWidth="1"/>
    <x:col min="6" max="6" width="14" hidden="0" customWidth="1"/>
    <x:col min="7" max="7" width="14" hidden="0" customWidth="1"/>
    <x:col min="8" max="8" width="13" hidden="0" customWidth="1"/>
    <x:col min="9" max="9" width="13" hidden="0" customWidth="1"/>
    <x:col min="10" max="10" width="15" hidden="0" customWidth="1"/>
    <x:col min="11" max="11" width="18" hidden="0" customWidth="1"/>
    <x:col min="12" max="12" width="14" hidden="0" customWidth="1"/>
    <x:col min="13" max="13" width="14" hidden="0" customWidth="1"/>
  </x:cols>
  <x:sheetData>
    <x:row r="1" ht="30" customHeight="1">
      <x:c r="A1" s="18" t="str">
        <x:v>Climate scenario model - reviewed summary</x:v>
      </x:c>
      <x:c r="B1" s="18" t="str">
        <x:v>Climate scenario model - reviewed summary</x:v>
      </x:c>
      <x:c r="C1" s="18" t="str">
        <x:v>Climate scenario model - reviewed summary</x:v>
      </x:c>
      <x:c r="D1" s="18" t="str">
        <x:v>Climate scenario model - reviewed summary</x:v>
      </x:c>
      <x:c r="E1" s="18" t="str">
        <x:v>Climate scenario model - reviewed summary</x:v>
      </x:c>
      <x:c r="F1" s="18" t="str">
        <x:v>Climate scenario model - reviewed summary</x:v>
      </x:c>
      <x:c r="G1" s="18" t="str">
        <x:v>Climate scenario model - reviewed summary</x:v>
      </x:c>
      <x:c r="H1" s="18" t="str">
        <x:v>Climate scenario model - reviewed summary</x:v>
      </x:c>
      <x:c r="I1" s="18" t="str">
        <x:v>Climate scenario model - reviewed summary</x:v>
      </x:c>
      <x:c r="J1" s="18" t="str">
        <x:v>Climate scenario model - reviewed summary</x:v>
      </x:c>
      <x:c r="K1" s="18" t="str">
        <x:v>Climate scenario model - reviewed summary</x:v>
      </x:c>
      <x:c r="L1" s="18" t="str">
        <x:v>Climate scenario model - reviewed summary</x:v>
      </x:c>
      <x:c r="M1" s="18" t="str">
        <x:v>Climate scenario model - reviewed summary</x:v>
      </x:c>
    </x:row>
    <x:row r="2" ht="28" customHeight="1">
      <x:c r="A2" s="22" t="str">
        <x:v>Current Policies versus climate-agnostic baseline. Low/Base/High are conversion-assumption cases, not confidence intervals or probabilities.</x:v>
      </x:c>
      <x:c r="B2" s="22" t="str">
        <x:v>Current Policies versus climate-agnostic baseline. Low/Base/High are conversion-assumption cases, not confidence intervals or probabilities.</x:v>
      </x:c>
      <x:c r="C2" s="22" t="str">
        <x:v>Current Policies versus climate-agnostic baseline. Low/Base/High are conversion-assumption cases, not confidence intervals or probabilities.</x:v>
      </x:c>
      <x:c r="D2" s="22" t="str">
        <x:v>Current Policies versus climate-agnostic baseline. Low/Base/High are conversion-assumption cases, not confidence intervals or probabilities.</x:v>
      </x:c>
      <x:c r="E2" s="22" t="str">
        <x:v>Current Policies versus climate-agnostic baseline. Low/Base/High are conversion-assumption cases, not confidence intervals or probabilities.</x:v>
      </x:c>
      <x:c r="F2" s="22" t="str">
        <x:v>Current Policies versus climate-agnostic baseline. Low/Base/High are conversion-assumption cases, not confidence intervals or probabilities.</x:v>
      </x:c>
      <x:c r="G2" s="22" t="str">
        <x:v>Current Policies versus climate-agnostic baseline. Low/Base/High are conversion-assumption cases, not confidence intervals or probabilities.</x:v>
      </x:c>
      <x:c r="H2" s="22" t="str">
        <x:v>Current Policies versus climate-agnostic baseline. Low/Base/High are conversion-assumption cases, not confidence intervals or probabilities.</x:v>
      </x:c>
      <x:c r="I2" s="22" t="str">
        <x:v>Current Policies versus climate-agnostic baseline. Low/Base/High are conversion-assumption cases, not confidence intervals or probabilities.</x:v>
      </x:c>
      <x:c r="J2" s="22" t="str">
        <x:v>Current Policies versus climate-agnostic baseline. Low/Base/High are conversion-assumption cases, not confidence intervals or probabilities.</x:v>
      </x:c>
      <x:c r="K2" s="22" t="str">
        <x:v>Current Policies versus climate-agnostic baseline. Low/Base/High are conversion-assumption cases, not confidence intervals or probabilities.</x:v>
      </x:c>
      <x:c r="L2" s="22" t="str">
        <x:v>Current Policies versus climate-agnostic baseline. Low/Base/High are conversion-assumption cases, not confidence intervals or probabilities.</x:v>
      </x:c>
      <x:c r="M2" s="22" t="str">
        <x:v>Current Policies versus climate-agnostic baseline. Low/Base/High are conversion-assumption cases, not confidence intervals or probabilities.</x:v>
      </x:c>
    </x:row>
    <x:row r="4">
      <x:c r="A4" s="7" t="str">
        <x:v>Ticker</x:v>
      </x:c>
      <x:c r="B4" s="7" t="str">
        <x:v>Low</x:v>
      </x:c>
      <x:c r="C4" s="7" t="str">
        <x:v>Base</x:v>
      </x:c>
      <x:c r="D4" s="7" t="str">
        <x:v>High</x:v>
      </x:c>
      <x:c r="E4" s="7" t="str">
        <x:v>Sector</x:v>
      </x:c>
      <x:c r="F4" s="7" t="str">
        <x:v>Symmetric base</x:v>
      </x:c>
      <x:c r="G4" s="7" t="str">
        <x:v>EV delta ($bn)</x:v>
      </x:c>
      <x:c r="H4" s="7" t="str">
        <x:v>Transition</x:v>
      </x:c>
      <x:c r="I4" s="7" t="str">
        <x:v>Physical</x:v>
      </x:c>
      <x:c r="J4" s="7" t="str">
        <x:v>Macro / supply</x:v>
      </x:c>
      <x:c r="K4" s="7" t="str">
        <x:v>Physical confidence</x:v>
      </x:c>
      <x:c r="L4" s="7" t="str">
        <x:v>Facility coverage</x:v>
      </x:c>
      <x:c r="M4" s="7" t="str">
        <x:v>Ranking use</x:v>
      </x:c>
    </x:row>
    <x:row r="5">
      <x:c r="A5" s="72" t="str">
        <x:f>'Results Raw'!$A$15</x:f>
        <x:v>DUK</x:v>
      </x:c>
      <x:c r="B5" s="74" t="n">
        <x:f>'Results Raw'!$M$14/100</x:f>
        <x:v>-0.01912335646540475</x:v>
      </x:c>
      <x:c r="C5" s="74" t="n">
        <x:f>'Results Raw'!$M$15/100</x:f>
        <x:v>-0.04735551081659627</x:v>
      </x:c>
      <x:c r="D5" s="74" t="n">
        <x:f>'Results Raw'!$M$16/100</x:f>
        <x:v>-0.09818840169030363</x:v>
      </x:c>
      <x:c r="E5" s="72" t="str">
        <x:f>'Results Raw'!$B$15</x:f>
        <x:v>Utilities</x:v>
      </x:c>
      <x:c r="F5" s="74" t="n">
        <x:f>'Decision View'!G18</x:f>
        <x:v>-0.04850397609899835</x:v>
      </x:c>
      <x:c r="G5" s="76" t="n">
        <x:f>'Decision View'!F18</x:f>
        <x:v>-2.374035687573784</x:v>
      </x:c>
      <x:c r="H5" s="74" t="n">
        <x:f>'Decision View'!H18</x:f>
        <x:v>-0.008954154088493383</x:v>
      </x:c>
      <x:c r="I5" s="74" t="n">
        <x:f>'Decision View'!I18</x:f>
        <x:v>-0.024383550725703876</x:v>
      </x:c>
      <x:c r="J5" s="74" t="n">
        <x:f>'Decision View'!J18</x:f>
        <x:v>-0.014017806002399057</x:v>
      </x:c>
      <x:c r="K5" s="72" t="str">
        <x:f>'Decision View'!Q18</x:f>
        <x:v>High</x:v>
      </x:c>
      <x:c r="L5" s="78" t="n">
        <x:f>'Decision View'!P18</x:f>
        <x:v>0.9795918367346939</x:v>
      </x:c>
      <x:c r="M5" s="72" t="str">
        <x:f>'Decision View'!T18</x:f>
        <x:v>RANKABLE</x:v>
      </x:c>
    </x:row>
    <x:row r="6">
      <x:c r="A6" s="73" t="str">
        <x:f>'Results Raw'!$A$21</x:f>
        <x:v>NEE</x:v>
      </x:c>
      <x:c r="B6" s="75" t="n">
        <x:f>'Results Raw'!$M$20/100</x:f>
        <x:v>-0.011078890675151554</x:v>
      </x:c>
      <x:c r="C6" s="75" t="n">
        <x:f>'Results Raw'!$M$21/100</x:f>
        <x:v>-0.022237366704251804</x:v>
      </x:c>
      <x:c r="D6" s="75" t="n">
        <x:f>'Results Raw'!$M$22/100</x:f>
        <x:v>-0.04177851074255045</x:v>
      </x:c>
      <x:c r="E6" s="73" t="str">
        <x:f>'Results Raw'!$B$21</x:f>
        <x:v>Utilities</x:v>
      </x:c>
      <x:c r="F6" s="75" t="n">
        <x:f>'Decision View'!G24</x:f>
        <x:v>-0.022487396950356328</x:v>
      </x:c>
      <x:c r="G6" s="77" t="n">
        <x:f>'Decision View'!F24</x:f>
        <x:v>-4.620640459862854</x:v>
      </x:c>
      <x:c r="H6" s="75" t="n">
        <x:f>'Decision View'!H24</x:f>
        <x:v>-0.0006450294060377629</x:v>
      </x:c>
      <x:c r="I6" s="75" t="n">
        <x:f>'Decision View'!I24</x:f>
        <x:v>-0.007063564769746915</x:v>
      </x:c>
      <x:c r="J6" s="75" t="n">
        <x:f>'Decision View'!J24</x:f>
        <x:v>-0.014528772528467076</x:v>
      </x:c>
      <x:c r="K6" s="73" t="str">
        <x:f>'Decision View'!Q24</x:f>
        <x:v>High</x:v>
      </x:c>
      <x:c r="L6" s="79" t="n">
        <x:f>'Decision View'!P24</x:f>
        <x:v>0.8518518518518519</x:v>
      </x:c>
      <x:c r="M6" s="73" t="str">
        <x:f>'Decision View'!T24</x:f>
        <x:v>RANKABLE</x:v>
      </x:c>
    </x:row>
    <x:row r="7">
      <x:c r="A7" s="73" t="str">
        <x:f>'Results Raw'!$A$24</x:f>
        <x:v>XOM</x:v>
      </x:c>
      <x:c r="B7" s="75" t="n">
        <x:f>'Results Raw'!$M$23/100</x:f>
        <x:v>-0.006586481433858538</x:v>
      </x:c>
      <x:c r="C7" s="75" t="n">
        <x:f>'Results Raw'!$M$24/100</x:f>
        <x:v>-0.013552362351022418</x:v>
      </x:c>
      <x:c r="D7" s="75" t="n">
        <x:f>'Results Raw'!$M$25/100</x:f>
        <x:v>-0.026965633118586685</x:v>
      </x:c>
      <x:c r="E7" s="73" t="str">
        <x:f>'Results Raw'!$B$24</x:f>
        <x:v>Energy</x:v>
      </x:c>
      <x:c r="F7" s="75" t="n">
        <x:f>'Decision View'!G27</x:f>
        <x:v>-0.013644822137936654</x:v>
      </x:c>
      <x:c r="G7" s="77" t="n">
        <x:f>'Decision View'!F27</x:f>
        <x:v>-9.169641250659302</x:v>
      </x:c>
      <x:c r="H7" s="75" t="n">
        <x:f>'Decision View'!H27</x:f>
        <x:v>-0.0007806418624761987</x:v>
      </x:c>
      <x:c r="I7" s="75" t="n">
        <x:f>'Decision View'!I27</x:f>
        <x:v>-0.004255380937335195</x:v>
      </x:c>
      <x:c r="J7" s="75" t="n">
        <x:f>'Decision View'!J27</x:f>
        <x:v>-0.008516339551210974</x:v>
      </x:c>
      <x:c r="K7" s="73" t="str">
        <x:f>'Decision View'!Q27</x:f>
        <x:v>Medium</x:v>
      </x:c>
      <x:c r="L7" s="79" t="n">
        <x:f>'Decision View'!P27</x:f>
        <x:v>0.7205882352941176</x:v>
      </x:c>
      <x:c r="M7" s="73" t="str">
        <x:f>'Decision View'!T27</x:f>
        <x:v>CAUTION</x:v>
      </x:c>
    </x:row>
    <x:row r="8">
      <x:c r="A8" s="73" t="str">
        <x:f>'Results Raw'!$A$9</x:f>
        <x:v>CVX</x:v>
      </x:c>
      <x:c r="B8" s="75" t="n">
        <x:f>'Results Raw'!$M$8/100</x:f>
        <x:v>-0.006244122467019553</x:v>
      </x:c>
      <x:c r="C8" s="75" t="n">
        <x:f>'Results Raw'!$M$9/100</x:f>
        <x:v>-0.013254922218104204</x:v>
      </x:c>
      <x:c r="D8" s="75" t="n">
        <x:f>'Results Raw'!$M$10/100</x:f>
        <x:v>-0.02630297552837446</x:v>
      </x:c>
      <x:c r="E8" s="73" t="str">
        <x:f>'Results Raw'!$B$9</x:f>
        <x:v>Energy</x:v>
      </x:c>
      <x:c r="F8" s="75" t="n">
        <x:f>'Decision View'!G12</x:f>
        <x:v>-0.013343354782992796</x:v>
      </x:c>
      <x:c r="G8" s="77" t="n">
        <x:f>'Decision View'!F12</x:f>
        <x:v>-4.992493624016174</x:v>
      </x:c>
      <x:c r="H8" s="75" t="n">
        <x:f>'Decision View'!H12</x:f>
        <x:v>-0.0004834688984290073</x:v>
      </x:c>
      <x:c r="I8" s="75" t="n">
        <x:f>'Decision View'!I12</x:f>
        <x:v>-0.005468044550707817</x:v>
      </x:c>
      <x:c r="J8" s="75" t="n">
        <x:f>'Decision View'!J12</x:f>
        <x:v>-0.0073034087689674</x:v>
      </x:c>
      <x:c r="K8" s="73" t="str">
        <x:f>'Decision View'!Q12</x:f>
        <x:v>Medium</x:v>
      </x:c>
      <x:c r="L8" s="79" t="n">
        <x:f>'Decision View'!P12</x:f>
        <x:v>0.6415094339622641</x:v>
      </x:c>
      <x:c r="M8" s="73" t="str">
        <x:f>'Decision View'!T12</x:f>
        <x:v>CAUTION</x:v>
      </x:c>
    </x:row>
    <x:row r="9">
      <x:c r="A9" s="73" t="str">
        <x:f>'Results Raw'!$A$18</x:f>
        <x:v>MSFT</x:v>
      </x:c>
      <x:c r="B9" s="75" t="n">
        <x:f>'Results Raw'!$M$17/100</x:f>
        <x:v>-0.00398757640423153</x:v>
      </x:c>
      <x:c r="C9" s="75" t="n">
        <x:f>'Results Raw'!$M$18/100</x:f>
        <x:v>-0.007744439350163335</x:v>
      </x:c>
      <x:c r="D9" s="75" t="n">
        <x:f>'Results Raw'!$M$19/100</x:f>
        <x:v>-0.015673284165067858</x:v>
      </x:c>
      <x:c r="E9" s="73" t="str">
        <x:f>'Results Raw'!$B$18</x:f>
        <x:v>Technology</x:v>
      </x:c>
      <x:c r="F9" s="75" t="n">
        <x:f>'Decision View'!G21</x:f>
        <x:v>-0.007774544092764124</x:v>
      </x:c>
      <x:c r="G9" s="77" t="n">
        <x:f>'Decision View'!F21</x:f>
        <x:v>-8.183552422370239</x:v>
      </x:c>
      <x:c r="H9" s="75" t="n">
        <x:f>'Decision View'!H21</x:f>
        <x:v>-0.000001019131860669087</x:v>
      </x:c>
      <x:c r="I9" s="75" t="n">
        <x:f>'Decision View'!I21</x:f>
        <x:v>-0.0018913209063713666</x:v>
      </x:c>
      <x:c r="J9" s="75" t="n">
        <x:f>'Decision View'!J21</x:f>
        <x:v>-0.005852099311931296</x:v>
      </x:c>
      <x:c r="K9" s="73" t="str">
        <x:f>'Decision View'!Q21</x:f>
        <x:v>Unverified</x:v>
      </x:c>
      <x:c r="L9" s="79" t="str">
        <x:f>'Decision View'!P21</x:f>
      </x:c>
      <x:c r="M9" s="73" t="str">
        <x:f>'Decision View'!T21</x:f>
        <x:v>EXCLUDE</x:v>
      </x:c>
    </x:row>
    <x:row r="10">
      <x:c r="A10" s="73" t="str">
        <x:f>'Results Raw'!$A$12</x:f>
        <x:v>DE</x:v>
      </x:c>
      <x:c r="B10" s="75" t="n">
        <x:f>'Results Raw'!$M$11/100</x:f>
        <x:v>-0.003257429195263617</x:v>
      </x:c>
      <x:c r="C10" s="75" t="n">
        <x:f>'Results Raw'!$M$12/100</x:f>
        <x:v>-0.006489577894968179</x:v>
      </x:c>
      <x:c r="D10" s="75" t="n">
        <x:f>'Results Raw'!$M$13/100</x:f>
        <x:v>-0.013632564139545944</x:v>
      </x:c>
      <x:c r="E10" s="73" t="str">
        <x:f>'Results Raw'!$B$12</x:f>
        <x:v>Industrials</x:v>
      </x:c>
      <x:c r="F10" s="75" t="n">
        <x:f>'Decision View'!G15</x:f>
        <x:v>-0.006510703754551237</x:v>
      </x:c>
      <x:c r="G10" s="77" t="n">
        <x:f>'Decision View'!F15</x:f>
        <x:v>-1.0126031757180176</x:v>
      </x:c>
      <x:c r="H10" s="75" t="n">
        <x:f>'Decision View'!H15</x:f>
        <x:v>-0.00002042932077293213</x:v>
      </x:c>
      <x:c r="I10" s="75" t="n">
        <x:f>'Decision View'!I15</x:f>
        <x:v>-0.0018470560227996083</x:v>
      </x:c>
      <x:c r="J10" s="75" t="n">
        <x:f>'Decision View'!J15</x:f>
        <x:v>-0.004622092551395586</x:v>
      </x:c>
      <x:c r="K10" s="73" t="str">
        <x:f>'Decision View'!Q15</x:f>
        <x:v>High</x:v>
      </x:c>
      <x:c r="L10" s="79" t="n">
        <x:f>'Decision View'!P15</x:f>
        <x:v>1</x:v>
      </x:c>
      <x:c r="M10" s="73" t="str">
        <x:f>'Decision View'!T15</x:f>
        <x:v>RANKABLE</x:v>
      </x:c>
    </x:row>
    <x:row r="11">
      <x:c r="A11" s="73" t="str">
        <x:f>'Results Raw'!$A$6</x:f>
        <x:v>CAT</x:v>
      </x:c>
      <x:c r="B11" s="75" t="n">
        <x:f>'Results Raw'!$M$5/100</x:f>
        <x:v>-0.0028339943304145354</x:v>
      </x:c>
      <x:c r="C11" s="75" t="n">
        <x:f>'Results Raw'!$M$6/100</x:f>
        <x:v>-0.005795814964330126</x:v>
      </x:c>
      <x:c r="D11" s="75" t="n">
        <x:f>'Results Raw'!$M$7/100</x:f>
        <x:v>-0.012573238733975978</x:v>
      </x:c>
      <x:c r="E11" s="73" t="str">
        <x:f>'Results Raw'!$B$6</x:f>
        <x:v>Industrials</x:v>
      </x:c>
      <x:c r="F11" s="75" t="n">
        <x:f>'Decision View'!G9</x:f>
        <x:v>-0.005812659513826518</x:v>
      </x:c>
      <x:c r="G11" s="77" t="n">
        <x:f>'Decision View'!F9</x:f>
        <x:v>-0.7050111513542786</x:v>
      </x:c>
      <x:c r="H11" s="75" t="n">
        <x:f>'Decision View'!H9</x:f>
        <x:v>-0.00007867990977488747</x:v>
      </x:c>
      <x:c r="I11" s="75" t="n">
        <x:f>'Decision View'!I9</x:f>
        <x:v>-0.0018414779401087337</x:v>
      </x:c>
      <x:c r="J11" s="75" t="n">
        <x:f>'Decision View'!J9</x:f>
        <x:v>-0.003875657114446501</x:v>
      </x:c>
      <x:c r="K11" s="73" t="str">
        <x:f>'Decision View'!Q9</x:f>
        <x:v>High</x:v>
      </x:c>
      <x:c r="L11" s="79" t="n">
        <x:f>'Decision View'!P9</x:f>
        <x:v>1</x:v>
      </x:c>
      <x:c r="M11" s="73" t="str">
        <x:f>'Decision View'!T9</x:f>
        <x:v>RANKABLE</x:v>
      </x:c>
    </x:row>
    <x:row r="12">
      <x:c r="A12" s="73" t="str">
        <x:f>'Results Raw'!$A$3</x:f>
        <x:v>AAPL</x:v>
      </x:c>
      <x:c r="B12" s="75" t="n">
        <x:f>'Results Raw'!$M$2/100</x:f>
        <x:v>-0.0027211407681032584</x:v>
      </x:c>
      <x:c r="C12" s="75" t="n">
        <x:f>'Results Raw'!$M$3/100</x:f>
        <x:v>-0.005539403113981378</x:v>
      </x:c>
      <x:c r="D12" s="75" t="n">
        <x:f>'Results Raw'!$M$4/100</x:f>
        <x:v>-0.011979239537032282</x:v>
      </x:c>
      <x:c r="E12" s="73" t="str">
        <x:f>'Results Raw'!$B$3</x:f>
        <x:v>Technology</x:v>
      </x:c>
      <x:c r="F12" s="75" t="n">
        <x:f>'Decision View'!G6</x:f>
        <x:v>-0.005554788219561897</x:v>
      </x:c>
      <x:c r="G12" s="77" t="n">
        <x:f>'Decision View'!F6</x:f>
        <x:v>-8.374648047424804</x:v>
      </x:c>
      <x:c r="H12" s="75" t="n">
        <x:f>'Decision View'!H6</x:f>
        <x:v>-5.011940900586668e-7</x:v>
      </x:c>
      <x:c r="I12" s="75" t="n">
        <x:f>'Decision View'!I6</x:f>
        <x:v>-0.0018030254976141623</x:v>
      </x:c>
      <x:c r="J12" s="75" t="n">
        <x:f>'Decision View'!J6</x:f>
        <x:v>-0.003735876422277202</x:v>
      </x:c>
      <x:c r="K12" s="73" t="str">
        <x:f>'Decision View'!Q6</x:f>
        <x:v>Unverified</x:v>
      </x:c>
      <x:c r="L12" s="79" t="str">
        <x:f>'Decision View'!P6</x:f>
      </x:c>
      <x:c r="M12" s="73" t="str">
        <x:f>'Decision View'!T6</x:f>
        <x:v>EXCLUDE</x:v>
      </x:c>
    </x:row>
    <x:row r="14" ht="34" customHeight="1">
      <x:c r="A14" s="65" t="str">
        <x:v>Interpretation: negative values mean the target scenario has lower enterprise value than the named reference. Results marked EXCLUDE are still shown for audit but should not receive an ordinary rank.</x:v>
      </x:c>
      <x:c r="B14" s="65" t="str">
        <x:v>Interpretation: negative values mean the target scenario has lower enterprise value than the named reference. Results marked EXCLUDE are still shown for audit but should not receive an ordinary rank.</x:v>
      </x:c>
      <x:c r="C14" s="65" t="str">
        <x:v>Interpretation: negative values mean the target scenario has lower enterprise value than the named reference. Results marked EXCLUDE are still shown for audit but should not receive an ordinary rank.</x:v>
      </x:c>
      <x:c r="D14" s="65" t="str">
        <x:v>Interpretation: negative values mean the target scenario has lower enterprise value than the named reference. Results marked EXCLUDE are still shown for audit but should not receive an ordinary rank.</x:v>
      </x:c>
      <x:c r="E14" s="65" t="str">
        <x:v>Interpretation: negative values mean the target scenario has lower enterprise value than the named reference. Results marked EXCLUDE are still shown for audit but should not receive an ordinary rank.</x:v>
      </x:c>
      <x:c r="F14" s="65" t="str">
        <x:v>Interpretation: negative values mean the target scenario has lower enterprise value than the named reference. Results marked EXCLUDE are still shown for audit but should not receive an ordinary rank.</x:v>
      </x:c>
      <x:c r="G14" s="65" t="str">
        <x:v>Interpretation: negative values mean the target scenario has lower enterprise value than the named reference. Results marked EXCLUDE are still shown for audit but should not receive an ordinary rank.</x:v>
      </x:c>
      <x:c r="H14" s="65" t="str">
        <x:v>Interpretation: negative values mean the target scenario has lower enterprise value than the named reference. Results marked EXCLUDE are still shown for audit but should not receive an ordinary rank.</x:v>
      </x:c>
      <x:c r="I14" s="65" t="str">
        <x:v>Interpretation: negative values mean the target scenario has lower enterprise value than the named reference. Results marked EXCLUDE are still shown for audit but should not receive an ordinary rank.</x:v>
      </x:c>
      <x:c r="J14" s="65" t="str">
        <x:v>Interpretation: negative values mean the target scenario has lower enterprise value than the named reference. Results marked EXCLUDE are still shown for audit but should not receive an ordinary rank.</x:v>
      </x:c>
      <x:c r="K14" s="65" t="str">
        <x:v>Interpretation: negative values mean the target scenario has lower enterprise value than the named reference. Results marked EXCLUDE are still shown for audit but should not receive an ordinary rank.</x:v>
      </x:c>
      <x:c r="L14" s="65" t="str">
        <x:v>Interpretation: negative values mean the target scenario has lower enterprise value than the named reference. Results marked EXCLUDE are still shown for audit but should not receive an ordinary rank.</x:v>
      </x:c>
      <x:c r="M14" s="65" t="str">
        <x:v>Interpretation: negative values mean the target scenario has lower enterprise value than the named reference. Results marked EXCLUDE are still shown for audit but should not receive an ordinary rank.</x:v>
      </x:c>
    </x:row>
    <x:row r="17">
      <x:c r="I17" s="80" t="str">
        <x:v>What changed in this reviewed version</x:v>
      </x:c>
      <x:c r="J17" s="80" t="str">
        <x:v>What changed in this reviewed version</x:v>
      </x:c>
      <x:c r="K17" s="80" t="str">
        <x:v>What changed in this reviewed version</x:v>
      </x:c>
      <x:c r="L17" s="80" t="str">
        <x:v>What changed in this reviewed version</x:v>
      </x:c>
      <x:c r="M17" s="80" t="str">
        <x:v>What changed in this reviewed version</x:v>
      </x:c>
    </x:row>
    <x:row r="18" ht="30" customHeight="1">
      <x:c r="I18" s="83" t="str">
        <x:v>1. Unverified facility proxies and EV-floor / denominator outliers are excluded from ordinary rankings.</x:v>
      </x:c>
      <x:c r="J18" s="83"/>
      <x:c r="K18" s="83"/>
      <x:c r="L18" s="83"/>
      <x:c r="M18" s="83"/>
    </x:row>
    <x:row r="19" ht="30" customHeight="1">
      <x:c r="I19" s="83" t="str">
        <x:v>2. A symmetric EV difference and dollar EV delta supplement the original ratio metric.</x:v>
      </x:c>
      <x:c r="J19" s="83"/>
      <x:c r="K19" s="83"/>
      <x:c r="L19" s="83"/>
      <x:c r="M19" s="83"/>
    </x:row>
    <x:row r="20" ht="30" customHeight="1">
      <x:c r="I20" s="83" t="str">
        <x:v>3. Percentage inputs are normalized to true spreadsheet percentages.</x:v>
      </x:c>
      <x:c r="J20" s="83"/>
      <x:c r="K20" s="83"/>
      <x:c r="L20" s="83"/>
      <x:c r="M20" s="83"/>
    </x:row>
    <x:row r="21" ht="30" customHeight="1">
      <x:c r="I21" s="83" t="str">
        <x:v>4. Channel reconciliation, WACC-versus-growth and source completeness checks are visible.</x:v>
      </x:c>
      <x:c r="J21" s="83"/>
      <x:c r="K21" s="83"/>
      <x:c r="L21" s="83"/>
      <x:c r="M21" s="83"/>
    </x:row>
    <x:row r="22" ht="30" customHeight="1">
      <x:c r="I22" s="83" t="str">
        <x:v>5. Display precision is reduced to match the model's prototype status.</x:v>
      </x:c>
      <x:c r="J22" s="83"/>
      <x:c r="K22" s="83"/>
      <x:c r="L22" s="83"/>
      <x:c r="M22" s="83"/>
    </x:row>
    <x:row r="23" ht="30" customHeight="1">
      <x:c r="I23" s="83" t="str">
        <x:v>6. The original CSV values remain unchanged on the raw tabs.</x:v>
      </x:c>
      <x:c r="J23" s="83"/>
      <x:c r="K23" s="83"/>
      <x:c r="L23" s="83"/>
      <x:c r="M23" s="83"/>
    </x:row>
  </x:sheetData>
  <x:mergeCells>
    <x:mergeCell ref="A1:M1"/>
    <x:mergeCell ref="A2:M2"/>
    <x:mergeCell ref="A14:M14"/>
    <x:mergeCell ref="I17:M17"/>
    <x:mergeCell ref="I18:M18"/>
    <x:mergeCell ref="I19:M19"/>
    <x:mergeCell ref="I20:M20"/>
    <x:mergeCell ref="I21:M21"/>
    <x:mergeCell ref="I22:M22"/>
    <x:mergeCell ref="I23:M23"/>
  </x:mergeCells>
  <x:conditionalFormatting sqref="M5:M12">
    <x:cfRule type="containsText" dxfId="24" priority="1" operator="containsText" text="OK"/>
    <x:cfRule type="containsText" dxfId="25" priority="2" operator="containsText" text="RANKABLE"/>
    <x:cfRule type="containsText" dxfId="26" priority="3" operator="containsText" text="CAUTION"/>
    <x:cfRule type="containsText" dxfId="27" priority="4" operator="containsText" text="WARN"/>
    <x:cfRule type="containsText" dxfId="28" priority="5" operator="containsText" text="EXCLUDE"/>
    <x:cfRule type="containsText" dxfId="29" priority="6" operator="containsText" text="FAIL"/>
    <x:cfRule type="containsText" dxfId="30" priority="7" operator="containsText" text="LIMITED"/>
  </x:conditionalFormatting>
  <x:pageMargins left="0.7" right="0.7" top="0.75" bottom="0.75" header="0.3" footer="0.3"/>
  <x:drawing xmlns:r="http://schemas.openxmlformats.org/officeDocument/2006/relationships" r:id="R6ea726929e0c41d4"/>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2" hidden="0" customWidth="1"/>
    <x:col min="4" max="4" width="20" hidden="0" customWidth="1"/>
    <x:col min="5" max="5" width="18" hidden="0" customWidth="1"/>
    <x:col min="6" max="6" width="24" hidden="0" customWidth="1"/>
  </x:cols>
  <x:sheetData>
    <x:row r="1" ht="30" customHeight="1">
      <x:c r="A1" s="18" t="str">
        <x:v>Scenario comparison - denominator-aware</x:v>
      </x:c>
      <x:c r="B1" s="18" t="str">
        <x:v>Scenario comparison - denominator-aware</x:v>
      </x:c>
      <x:c r="C1" s="18" t="str">
        <x:v>Scenario comparison - denominator-aware</x:v>
      </x:c>
      <x:c r="D1" s="18" t="str">
        <x:v>Scenario comparison - denominator-aware</x:v>
      </x:c>
      <x:c r="E1" s="18" t="str">
        <x:v>Scenario comparison - denominator-aware</x:v>
      </x:c>
      <x:c r="F1" s="18" t="str">
        <x:v>Scenario comparison - denominator-aware</x:v>
      </x:c>
    </x:row>
    <x:row r="2" ht="28" customHeight="1">
      <x:c r="A2" s="22" t="str">
        <x:v>Base assumption case. Compare scenarios with the symmetric EV difference; retain the original ratio only as a source metric because the reference denominator changes by column.</x:v>
      </x:c>
      <x:c r="B2" s="22" t="str">
        <x:v>Base assumption case. Compare scenarios with the symmetric EV difference; retain the original ratio only as a source metric because the reference denominator changes by column.</x:v>
      </x:c>
      <x:c r="C2" s="22" t="str">
        <x:v>Base assumption case. Compare scenarios with the symmetric EV difference; retain the original ratio only as a source metric because the reference denominator changes by column.</x:v>
      </x:c>
      <x:c r="D2" s="22" t="str">
        <x:v>Base assumption case. Compare scenarios with the symmetric EV difference; retain the original ratio only as a source metric because the reference denominator changes by column.</x:v>
      </x:c>
      <x:c r="E2" s="22" t="str">
        <x:v>Base assumption case. Compare scenarios with the symmetric EV difference; retain the original ratio only as a source metric because the reference denominator changes by column.</x:v>
      </x:c>
      <x:c r="F2" s="22" t="str">
        <x:v>Base assumption case. Compare scenarios with the symmetric EV difference; retain the original ratio only as a source metric because the reference denominator changes by column.</x:v>
      </x:c>
    </x:row>
    <x:row r="4">
      <x:c r="A4" s="50" t="str">
        <x:v>Preferred comparison: symmetric EV difference (bounded between -200% and +200%)</x:v>
      </x:c>
      <x:c r="B4" s="50" t="str">
        <x:v>Preferred comparison: symmetric EV difference (bounded between -200% and +200%)</x:v>
      </x:c>
      <x:c r="C4" s="50" t="str">
        <x:v>Preferred comparison: symmetric EV difference (bounded between -200% and +200%)</x:v>
      </x:c>
      <x:c r="D4" s="50" t="str">
        <x:v>Preferred comparison: symmetric EV difference (bounded between -200% and +200%)</x:v>
      </x:c>
      <x:c r="E4" s="50" t="str">
        <x:v>Preferred comparison: symmetric EV difference (bounded between -200% and +200%)</x:v>
      </x:c>
      <x:c r="F4" s="50" t="str">
        <x:v>Preferred comparison: symmetric EV difference (bounded between -200% and +200%)</x:v>
      </x:c>
    </x:row>
    <x:row r="5">
      <x:c r="A5" s="7" t="str">
        <x:v>Ticker</x:v>
      </x:c>
      <x:c r="B5" s="7" t="str">
        <x:v>CP vs baseline</x:v>
      </x:c>
      <x:c r="C5" s="7" t="str">
        <x:v>Net Zero vs baseline</x:v>
      </x:c>
      <x:c r="D5" s="7" t="str">
        <x:v>Below 2°C vs CP</x:v>
      </x:c>
      <x:c r="E5" s="7" t="str">
        <x:v>CP vs delayed</x:v>
      </x:c>
      <x:c r="F5" s="7" t="str">
        <x:v>Fragmented vs baseline</x:v>
      </x:c>
    </x:row>
    <x:row r="6">
      <x:c r="A6" s="72" t="str">
        <x:f>"DUK"</x:f>
        <x:v>DUK</x:v>
      </x:c>
      <x:c r="B6" s="74" t="n">
        <x:f>'Decision View'!G18</x:f>
        <x:v>-0.04850397609899835</x:v>
      </x:c>
      <x:c r="C6" s="74" t="n">
        <x:f>'Decision View'!G42</x:f>
        <x:v>-2</x:v>
      </x:c>
      <x:c r="D6" s="74" t="n">
        <x:f>'Decision View'!G66</x:f>
        <x:v>-1.2133809833409928</x:v>
      </x:c>
      <x:c r="E6" s="74" t="n">
        <x:f>'Decision View'!G90</x:f>
        <x:v>1.3606830424324536</x:v>
      </x:c>
      <x:c r="F6" s="74" t="n">
        <x:f>'Decision View'!G114</x:f>
        <x:v>-1.2704573079694899</x:v>
      </x:c>
    </x:row>
    <x:row r="7">
      <x:c r="A7" s="73" t="str">
        <x:f>"NEE"</x:f>
        <x:v>NEE</x:v>
      </x:c>
      <x:c r="B7" s="75" t="n">
        <x:f>'Decision View'!G24</x:f>
        <x:v>-0.022487396950356328</x:v>
      </x:c>
      <x:c r="C7" s="75" t="n">
        <x:f>'Decision View'!G48</x:f>
        <x:v>-0.4265261965479415</x:v>
      </x:c>
      <x:c r="D7" s="75" t="n">
        <x:f>'Decision View'!G72</x:f>
        <x:v>-0.060316655580147344</x:v>
      </x:c>
      <x:c r="E7" s="75" t="n">
        <x:f>'Decision View'!G96</x:f>
        <x:v>0.25814293340337824</x:v>
      </x:c>
      <x:c r="F7" s="75" t="n">
        <x:f>'Decision View'!G120</x:f>
        <x:v>-0.12525400803635212</x:v>
      </x:c>
    </x:row>
    <x:row r="8">
      <x:c r="A8" s="73" t="str">
        <x:f>"XOM"</x:f>
        <x:v>XOM</x:v>
      </x:c>
      <x:c r="B8" s="75" t="n">
        <x:f>'Decision View'!G27</x:f>
        <x:v>-0.013644822137936654</x:v>
      </x:c>
      <x:c r="C8" s="75" t="n">
        <x:f>'Decision View'!G51</x:f>
        <x:v>-0.46906539945015197</x:v>
      </x:c>
      <x:c r="D8" s="75" t="n">
        <x:f>'Decision View'!G75</x:f>
        <x:v>-0.06711664083365866</x:v>
      </x:c>
      <x:c r="E8" s="75" t="n">
        <x:f>'Decision View'!G99</x:f>
        <x:v>0.308512360100337</x:v>
      </x:c>
      <x:c r="F8" s="75" t="n">
        <x:f>'Decision View'!G123</x:f>
        <x:v>-0.1058861004882306</x:v>
      </x:c>
    </x:row>
    <x:row r="9">
      <x:c r="A9" s="73" t="str">
        <x:f>"CVX"</x:f>
        <x:v>CVX</x:v>
      </x:c>
      <x:c r="B9" s="75" t="n">
        <x:f>'Decision View'!G12</x:f>
        <x:v>-0.013343354782992796</x:v>
      </x:c>
      <x:c r="C9" s="75" t="n">
        <x:f>'Decision View'!G36</x:f>
        <x:v>-0.2956799558445262</x:v>
      </x:c>
      <x:c r="D9" s="75" t="n">
        <x:f>'Decision View'!G60</x:f>
        <x:v>-0.04471866149173772</x:v>
      </x:c>
      <x:c r="E9" s="75" t="n">
        <x:f>'Decision View'!G84</x:f>
        <x:v>0.17600109080160356</x:v>
      </x:c>
      <x:c r="F9" s="75" t="n">
        <x:f>'Decision View'!G108</x:f>
        <x:v>-0.07697175044483227</x:v>
      </x:c>
    </x:row>
    <x:row r="10">
      <x:c r="A10" s="73" t="str">
        <x:f>"MSFT"</x:f>
        <x:v>MSFT</x:v>
      </x:c>
      <x:c r="B10" s="75" t="n">
        <x:f>'Decision View'!G21</x:f>
        <x:v>-0.007774544092764124</x:v>
      </x:c>
      <x:c r="C10" s="75" t="n">
        <x:f>'Decision View'!G45</x:f>
        <x:v>-0.011229871718748374</x:v>
      </x:c>
      <x:c r="D10" s="75" t="n">
        <x:f>'Decision View'!G69</x:f>
        <x:v>0.00054230072842443</x:v>
      </x:c>
      <x:c r="E10" s="75" t="n">
        <x:f>'Decision View'!G93</x:f>
        <x:v>0.013598790570450154</x:v>
      </x:c>
      <x:c r="F10" s="75" t="n">
        <x:f>'Decision View'!G117</x:f>
        <x:v>-0.025715030099104492</x:v>
      </x:c>
    </x:row>
    <x:row r="11">
      <x:c r="A11" s="73" t="str">
        <x:f>"DE"</x:f>
        <x:v>DE</x:v>
      </x:c>
      <x:c r="B11" s="75" t="n">
        <x:f>'Decision View'!G15</x:f>
        <x:v>-0.006510703754551237</x:v>
      </x:c>
      <x:c r="C11" s="75" t="n">
        <x:f>'Decision View'!G39</x:f>
        <x:v>-0.01974282647760815</x:v>
      </x:c>
      <x:c r="D11" s="75" t="n">
        <x:f>'Decision View'!G63</x:f>
        <x:v>-0.0015395517427970145</x:v>
      </x:c>
      <x:c r="E11" s="75" t="n">
        <x:f>'Decision View'!G87</x:f>
        <x:v>0.01646300493259393</x:v>
      </x:c>
      <x:c r="F11" s="75" t="n">
        <x:f>'Decision View'!G111</x:f>
        <x:v>-0.022233479151244226</x:v>
      </x:c>
    </x:row>
    <x:row r="12">
      <x:c r="A12" s="73" t="str">
        <x:f>"CAT"</x:f>
        <x:v>CAT</x:v>
      </x:c>
      <x:c r="B12" s="75" t="n">
        <x:f>'Decision View'!G9</x:f>
        <x:v>-0.005812659513826518</x:v>
      </x:c>
      <x:c r="C12" s="75" t="n">
        <x:f>'Decision View'!G33</x:f>
        <x:v>-0.05993017412671161</x:v>
      </x:c>
      <x:c r="D12" s="75" t="n">
        <x:f>'Decision View'!G57</x:f>
        <x:v>-0.009630666059703537</x:v>
      </x:c>
      <x:c r="E12" s="75" t="n">
        <x:f>'Decision View'!G81</x:f>
        <x:v>0.029334468061903398</x:v>
      </x:c>
      <x:c r="F12" s="75" t="n">
        <x:f>'Decision View'!G105</x:f>
        <x:v>-0.02423403196961291</x:v>
      </x:c>
    </x:row>
    <x:row r="13">
      <x:c r="A13" s="73" t="str">
        <x:f>"AAPL"</x:f>
        <x:v>AAPL</x:v>
      </x:c>
      <x:c r="B13" s="75" t="n">
        <x:f>'Decision View'!G6</x:f>
        <x:v>-0.005554788219561897</x:v>
      </x:c>
      <x:c r="C13" s="75" t="n">
        <x:f>'Decision View'!G30</x:f>
        <x:v>-0.007662017145865542</x:v>
      </x:c>
      <x:c r="D13" s="75" t="n">
        <x:f>'Decision View'!G54</x:f>
        <x:v>0.0003618214311353793</x:v>
      </x:c>
      <x:c r="E13" s="75" t="n">
        <x:f>'Decision View'!G78</x:f>
        <x:v>0.00859891921633883</x:v>
      </x:c>
      <x:c r="F13" s="75" t="n">
        <x:f>'Decision View'!G102</x:f>
        <x:v>-0.016920786809361953</x:v>
      </x:c>
    </x:row>
    <x:row r="15">
      <x:c r="A15" s="84" t="str">
        <x:v>Original source metric: 100 × (target EV / reference EV - 1); do not compare columns as if they share one denominator</x:v>
      </x:c>
      <x:c r="B15" s="84" t="str">
        <x:v>Original source metric: 100 × (target EV / reference EV - 1); do not compare columns as if they share one denominator</x:v>
      </x:c>
      <x:c r="C15" s="84" t="str">
        <x:v>Original source metric: 100 × (target EV / reference EV - 1); do not compare columns as if they share one denominator</x:v>
      </x:c>
      <x:c r="D15" s="84" t="str">
        <x:v>Original source metric: 100 × (target EV / reference EV - 1); do not compare columns as if they share one denominator</x:v>
      </x:c>
      <x:c r="E15" s="84" t="str">
        <x:v>Original source metric: 100 × (target EV / reference EV - 1); do not compare columns as if they share one denominator</x:v>
      </x:c>
      <x:c r="F15" s="84" t="str">
        <x:v>Original source metric: 100 × (target EV / reference EV - 1); do not compare columns as if they share one denominator</x:v>
      </x:c>
    </x:row>
    <x:row r="16">
      <x:c r="A16" s="7" t="str">
        <x:v>Ticker</x:v>
      </x:c>
      <x:c r="B16" s="7" t="str">
        <x:v>CP vs baseline</x:v>
      </x:c>
      <x:c r="C16" s="7" t="str">
        <x:v>Net Zero vs baseline</x:v>
      </x:c>
      <x:c r="D16" s="7" t="str">
        <x:v>Below 2°C vs CP</x:v>
      </x:c>
      <x:c r="E16" s="7" t="str">
        <x:v>CP vs delayed</x:v>
      </x:c>
      <x:c r="F16" s="7" t="str">
        <x:v>Fragmented vs baseline</x:v>
      </x:c>
    </x:row>
    <x:row r="17">
      <x:c r="A17" s="72" t="str">
        <x:f>"DUK"</x:f>
        <x:v>DUK</x:v>
      </x:c>
      <x:c r="B17" s="74" t="n">
        <x:f>'Decision View'!E18</x:f>
        <x:v>-0.04735551081659627</x:v>
      </x:c>
      <x:c r="C17" s="74" t="n">
        <x:f>'Decision View'!E42</x:f>
        <x:v>-1</x:v>
      </x:c>
      <x:c r="D17" s="74" t="n">
        <x:f>'Decision View'!E66</x:f>
        <x:v>-0.7552051808556015</x:v>
      </x:c>
      <x:c r="E17" s="74" t="n">
        <x:f>'Decision View'!E90</x:f>
        <x:v>4.256677462801987</x:v>
      </x:c>
      <x:c r="F17" s="74" t="n">
        <x:f>'Decision View'!E114</x:f>
        <x:v>-0.7769294556291098</x:v>
      </x:c>
    </x:row>
    <x:row r="18">
      <x:c r="A18" s="73" t="str">
        <x:f>"NEE"</x:f>
        <x:v>NEE</x:v>
      </x:c>
      <x:c r="B18" s="75" t="n">
        <x:f>'Decision View'!E24</x:f>
        <x:v>-0.022237366704251804</x:v>
      </x:c>
      <x:c r="C18" s="75" t="n">
        <x:f>'Decision View'!E48</x:f>
        <x:v>-0.3515529295786975</x:v>
      </x:c>
      <x:c r="D18" s="75" t="n">
        <x:f>'Decision View'!E72</x:f>
        <x:v>-0.05855085956499561</x:v>
      </x:c>
      <x:c r="E18" s="75" t="n">
        <x:f>'Decision View'!E96</x:f>
        <x:v>0.29639967406482826</x:v>
      </x:c>
      <x:c r="F18" s="75" t="n">
        <x:f>'Decision View'!E120</x:f>
        <x:v>-0.11787203558983685</x:v>
      </x:c>
    </x:row>
    <x:row r="19">
      <x:c r="A19" s="73" t="str">
        <x:f>"XOM"</x:f>
        <x:v>XOM</x:v>
      </x:c>
      <x:c r="B19" s="75" t="n">
        <x:f>'Decision View'!E27</x:f>
        <x:v>-0.013552362351022418</x:v>
      </x:c>
      <x:c r="C19" s="75" t="n">
        <x:f>'Decision View'!E51</x:f>
        <x:v>-0.3799538072621409</x:v>
      </x:c>
      <x:c r="D19" s="75" t="n">
        <x:f>'Decision View'!E75</x:f>
        <x:v>-0.06493744910939403</x:v>
      </x:c>
      <x:c r="E19" s="75" t="n">
        <x:f>'Decision View'!E99</x:f>
        <x:v>0.36478228137527213</x:v>
      </x:c>
      <x:c r="F19" s="75" t="n">
        <x:f>'Decision View'!E123</x:f>
        <x:v>-0.10056203938444908</x:v>
      </x:c>
    </x:row>
    <x:row r="20">
      <x:c r="A20" s="73" t="str">
        <x:f>"CVX"</x:f>
        <x:v>CVX</x:v>
      </x:c>
      <x:c r="B20" s="75" t="n">
        <x:f>'Decision View'!E12</x:f>
        <x:v>-0.013254922218104204</x:v>
      </x:c>
      <x:c r="C20" s="75" t="n">
        <x:f>'Decision View'!E36</x:f>
        <x:v>-0.25759684409994565</x:v>
      </x:c>
      <x:c r="D20" s="75" t="n">
        <x:f>'Decision View'!E60</x:f>
        <x:v>-0.0437406498350369</x:v>
      </x:c>
      <x:c r="E20" s="75" t="n">
        <x:f>'Decision View'!E84</x:f>
        <x:v>0.19298376760428204</x:v>
      </x:c>
      <x:c r="F20" s="75" t="n">
        <x:f>'Decision View'!E108</x:f>
        <x:v>-0.07411920785956472</x:v>
      </x:c>
    </x:row>
    <x:row r="21">
      <x:c r="A21" s="73" t="str">
        <x:f>"MSFT"</x:f>
        <x:v>MSFT</x:v>
      </x:c>
      <x:c r="B21" s="75" t="n">
        <x:f>'Decision View'!E21</x:f>
        <x:v>-0.007744439350163335</x:v>
      </x:c>
      <x:c r="C21" s="75" t="n">
        <x:f>'Decision View'!E45</x:f>
        <x:v>-0.011167168782304948</x:v>
      </x:c>
      <x:c r="D21" s="75" t="n">
        <x:f>'Decision View'!E69</x:f>
        <x:v>0.0005424478133466692</x:v>
      </x:c>
      <x:c r="E21" s="75" t="n">
        <x:f>'Decision View'!E93</x:f>
        <x:v>0.013691887123201463</x:v>
      </x:c>
      <x:c r="F21" s="75" t="n">
        <x:f>'Decision View'!E117</x:f>
        <x:v>-0.025388595845928452</x:v>
      </x:c>
    </x:row>
    <x:row r="22">
      <x:c r="A22" s="73" t="str">
        <x:f>"DE"</x:f>
        <x:v>DE</x:v>
      </x:c>
      <x:c r="B22" s="75" t="n">
        <x:f>'Decision View'!E15</x:f>
        <x:v>-0.006489577894968179</x:v>
      </x:c>
      <x:c r="C22" s="75" t="n">
        <x:f>'Decision View'!E39</x:f>
        <x:v>-0.019549841909367482</x:v>
      </x:c>
      <x:c r="D22" s="75" t="n">
        <x:f>'Decision View'!E63</x:f>
        <x:v>-0.0015383675445798106</x:v>
      </x:c>
      <x:c r="E22" s="75" t="n">
        <x:f>'Decision View'!E87</x:f>
        <x:v>0.016599644950947345</x:v>
      </x:c>
      <x:c r="F22" s="75" t="n">
        <x:f>'Decision View'!E111</x:f>
        <x:v>-0.021989032800085906</x:v>
      </x:c>
    </x:row>
    <x:row r="23">
      <x:c r="A23" s="73" t="str">
        <x:f>"CAT"</x:f>
        <x:v>CAT</x:v>
      </x:c>
      <x:c r="B23" s="75" t="n">
        <x:f>'Decision View'!E9</x:f>
        <x:v>-0.005795814964330126</x:v>
      </x:c>
      <x:c r="C23" s="75" t="n">
        <x:f>'Decision View'!E33</x:f>
        <x:v>-0.058186607370920636</x:v>
      </x:c>
      <x:c r="D23" s="75" t="n">
        <x:f>'Decision View'!E57</x:f>
        <x:v>-0.009584513435582087</x:v>
      </x:c>
      <x:c r="E23" s="75" t="n">
        <x:f>'Decision View'!E81</x:f>
        <x:v>0.02977112816608085</x:v>
      </x:c>
      <x:c r="F23" s="75" t="n">
        <x:f>'Decision View'!E105</x:f>
        <x:v>-0.023943903310461367</x:v>
      </x:c>
    </x:row>
    <x:row r="24">
      <x:c r="A24" s="73" t="str">
        <x:f>"AAPL"</x:f>
        <x:v>AAPL</x:v>
      </x:c>
      <x:c r="B24" s="75" t="n">
        <x:f>'Decision View'!E6</x:f>
        <x:v>-0.005539403113981378</x:v>
      </x:c>
      <x:c r="C24" s="75" t="n">
        <x:f>'Decision View'!E30</x:f>
        <x:v>-0.007632775915896506</x:v>
      </x:c>
      <x:c r="D24" s="75" t="n">
        <x:f>'Decision View'!E54</x:f>
        <x:v>0.0003618869003534364</x:v>
      </x:c>
      <x:c r="E24" s="75" t="n">
        <x:f>'Decision View'!E78</x:f>
        <x:v>0.00863604956260744</x:v>
      </x:c>
      <x:c r="F24" s="75" t="n">
        <x:f>'Decision View'!E102</x:f>
        <x:v>-0.016778831295729324</x:v>
      </x:c>
    </x:row>
    <x:row r="26">
      <x:c r="A26" s="50" t="str">
        <x:v>Ranking eligibility after data-quality and boundary checks</x:v>
      </x:c>
      <x:c r="B26" s="50" t="str">
        <x:v>Ranking eligibility after data-quality and boundary checks</x:v>
      </x:c>
      <x:c r="C26" s="50" t="str">
        <x:v>Ranking eligibility after data-quality and boundary checks</x:v>
      </x:c>
      <x:c r="D26" s="50" t="str">
        <x:v>Ranking eligibility after data-quality and boundary checks</x:v>
      </x:c>
      <x:c r="E26" s="50" t="str">
        <x:v>Ranking eligibility after data-quality and boundary checks</x:v>
      </x:c>
      <x:c r="F26" s="50" t="str">
        <x:v>Ranking eligibility after data-quality and boundary checks</x:v>
      </x:c>
    </x:row>
    <x:row r="27">
      <x:c r="A27" s="7" t="str">
        <x:v>Ticker</x:v>
      </x:c>
      <x:c r="B27" s="7" t="str">
        <x:v>CP vs baseline</x:v>
      </x:c>
      <x:c r="C27" s="7" t="str">
        <x:v>Net Zero vs baseline</x:v>
      </x:c>
      <x:c r="D27" s="7" t="str">
        <x:v>Below 2°C vs CP</x:v>
      </x:c>
      <x:c r="E27" s="7" t="str">
        <x:v>CP vs delayed</x:v>
      </x:c>
      <x:c r="F27" s="7" t="str">
        <x:v>Fragmented vs baseline</x:v>
      </x:c>
    </x:row>
    <x:row r="28">
      <x:c r="A28" s="72" t="str">
        <x:f>"DUK"</x:f>
        <x:v>DUK</x:v>
      </x:c>
      <x:c r="B28" s="72" t="str">
        <x:f>'Decision View'!T18</x:f>
        <x:v>RANKABLE</x:v>
      </x:c>
      <x:c r="C28" s="72" t="str">
        <x:f>'Decision View'!T42</x:f>
        <x:v>EXCLUDE</x:v>
      </x:c>
      <x:c r="D28" s="72" t="str">
        <x:f>'Decision View'!T66</x:f>
        <x:v>EXCLUDE</x:v>
      </x:c>
      <x:c r="E28" s="72" t="str">
        <x:f>'Decision View'!T90</x:f>
        <x:v>EXCLUDE</x:v>
      </x:c>
      <x:c r="F28" s="72" t="str">
        <x:f>'Decision View'!T114</x:f>
        <x:v>EXCLUDE</x:v>
      </x:c>
    </x:row>
    <x:row r="29">
      <x:c r="A29" s="73" t="str">
        <x:f>"NEE"</x:f>
        <x:v>NEE</x:v>
      </x:c>
      <x:c r="B29" s="73" t="str">
        <x:f>'Decision View'!T24</x:f>
        <x:v>RANKABLE</x:v>
      </x:c>
      <x:c r="C29" s="73" t="str">
        <x:f>'Decision View'!T48</x:f>
        <x:v>RANKABLE</x:v>
      </x:c>
      <x:c r="D29" s="73" t="str">
        <x:f>'Decision View'!T72</x:f>
        <x:v>RANKABLE</x:v>
      </x:c>
      <x:c r="E29" s="73" t="str">
        <x:f>'Decision View'!T96</x:f>
        <x:v>RANKABLE</x:v>
      </x:c>
      <x:c r="F29" s="73" t="str">
        <x:f>'Decision View'!T120</x:f>
        <x:v>RANKABLE</x:v>
      </x:c>
    </x:row>
    <x:row r="30">
      <x:c r="A30" s="73" t="str">
        <x:f>"XOM"</x:f>
        <x:v>XOM</x:v>
      </x:c>
      <x:c r="B30" s="73" t="str">
        <x:f>'Decision View'!T27</x:f>
        <x:v>CAUTION</x:v>
      </x:c>
      <x:c r="C30" s="73" t="str">
        <x:f>'Decision View'!T51</x:f>
        <x:v>CAUTION</x:v>
      </x:c>
      <x:c r="D30" s="73" t="str">
        <x:f>'Decision View'!T75</x:f>
        <x:v>CAUTION</x:v>
      </x:c>
      <x:c r="E30" s="73" t="str">
        <x:f>'Decision View'!T99</x:f>
        <x:v>CAUTION</x:v>
      </x:c>
      <x:c r="F30" s="73" t="str">
        <x:f>'Decision View'!T123</x:f>
        <x:v>CAUTION</x:v>
      </x:c>
    </x:row>
    <x:row r="31">
      <x:c r="A31" s="73" t="str">
        <x:f>"CVX"</x:f>
        <x:v>CVX</x:v>
      </x:c>
      <x:c r="B31" s="73" t="str">
        <x:f>'Decision View'!T12</x:f>
        <x:v>CAUTION</x:v>
      </x:c>
      <x:c r="C31" s="73" t="str">
        <x:f>'Decision View'!T36</x:f>
        <x:v>CAUTION</x:v>
      </x:c>
      <x:c r="D31" s="73" t="str">
        <x:f>'Decision View'!T60</x:f>
        <x:v>CAUTION</x:v>
      </x:c>
      <x:c r="E31" s="73" t="str">
        <x:f>'Decision View'!T84</x:f>
        <x:v>CAUTION</x:v>
      </x:c>
      <x:c r="F31" s="73" t="str">
        <x:f>'Decision View'!T108</x:f>
        <x:v>CAUTION</x:v>
      </x:c>
    </x:row>
    <x:row r="32">
      <x:c r="A32" s="73" t="str">
        <x:f>"MSFT"</x:f>
        <x:v>MSFT</x:v>
      </x:c>
      <x:c r="B32" s="73" t="str">
        <x:f>'Decision View'!T21</x:f>
        <x:v>EXCLUDE</x:v>
      </x:c>
      <x:c r="C32" s="73" t="str">
        <x:f>'Decision View'!T45</x:f>
        <x:v>EXCLUDE</x:v>
      </x:c>
      <x:c r="D32" s="73" t="str">
        <x:f>'Decision View'!T69</x:f>
        <x:v>EXCLUDE</x:v>
      </x:c>
      <x:c r="E32" s="73" t="str">
        <x:f>'Decision View'!T93</x:f>
        <x:v>EXCLUDE</x:v>
      </x:c>
      <x:c r="F32" s="73" t="str">
        <x:f>'Decision View'!T117</x:f>
        <x:v>EXCLUDE</x:v>
      </x:c>
    </x:row>
    <x:row r="33">
      <x:c r="A33" s="73" t="str">
        <x:f>"DE"</x:f>
        <x:v>DE</x:v>
      </x:c>
      <x:c r="B33" s="73" t="str">
        <x:f>'Decision View'!T15</x:f>
        <x:v>RANKABLE</x:v>
      </x:c>
      <x:c r="C33" s="73" t="str">
        <x:f>'Decision View'!T39</x:f>
        <x:v>RANKABLE</x:v>
      </x:c>
      <x:c r="D33" s="73" t="str">
        <x:f>'Decision View'!T63</x:f>
        <x:v>RANKABLE</x:v>
      </x:c>
      <x:c r="E33" s="73" t="str">
        <x:f>'Decision View'!T87</x:f>
        <x:v>RANKABLE</x:v>
      </x:c>
      <x:c r="F33" s="73" t="str">
        <x:f>'Decision View'!T111</x:f>
        <x:v>RANKABLE</x:v>
      </x:c>
    </x:row>
    <x:row r="34">
      <x:c r="A34" s="73" t="str">
        <x:f>"CAT"</x:f>
        <x:v>CAT</x:v>
      </x:c>
      <x:c r="B34" s="73" t="str">
        <x:f>'Decision View'!T9</x:f>
        <x:v>RANKABLE</x:v>
      </x:c>
      <x:c r="C34" s="73" t="str">
        <x:f>'Decision View'!T33</x:f>
        <x:v>RANKABLE</x:v>
      </x:c>
      <x:c r="D34" s="73" t="str">
        <x:f>'Decision View'!T57</x:f>
        <x:v>RANKABLE</x:v>
      </x:c>
      <x:c r="E34" s="73" t="str">
        <x:f>'Decision View'!T81</x:f>
        <x:v>RANKABLE</x:v>
      </x:c>
      <x:c r="F34" s="73" t="str">
        <x:f>'Decision View'!T105</x:f>
        <x:v>RANKABLE</x:v>
      </x:c>
    </x:row>
    <x:row r="35">
      <x:c r="A35" s="73" t="str">
        <x:f>"AAPL"</x:f>
        <x:v>AAPL</x:v>
      </x:c>
      <x:c r="B35" s="73" t="str">
        <x:f>'Decision View'!T6</x:f>
        <x:v>EXCLUDE</x:v>
      </x:c>
      <x:c r="C35" s="73" t="str">
        <x:f>'Decision View'!T30</x:f>
        <x:v>EXCLUDE</x:v>
      </x:c>
      <x:c r="D35" s="73" t="str">
        <x:f>'Decision View'!T54</x:f>
        <x:v>EXCLUDE</x:v>
      </x:c>
      <x:c r="E35" s="73" t="str">
        <x:f>'Decision View'!T78</x:f>
        <x:v>EXCLUDE</x:v>
      </x:c>
      <x:c r="F35" s="73" t="str">
        <x:f>'Decision View'!T102</x:f>
        <x:v>EXCLUDE</x:v>
      </x:c>
    </x:row>
    <x:row r="37">
      <x:c r="A37" s="66" t="str">
        <x:v>EXCLUDE = terminal-FCFF/EV floor, symmetric EV-ratio outlier (4.0x or more), or unverified physical proxy. CAUTION = facility match coverage below 75%. These labels prevent unstable or weakly supported observations from entering an ordinary rank chart.</x:v>
      </x:c>
      <x:c r="B37" s="66" t="str">
        <x:v>EXCLUDE = terminal-FCFF/EV floor, symmetric EV-ratio outlier (4.0x or more), or unverified physical proxy. CAUTION = facility match coverage below 75%. These labels prevent unstable or weakly supported observations from entering an ordinary rank chart.</x:v>
      </x:c>
      <x:c r="C37" s="66" t="str">
        <x:v>EXCLUDE = terminal-FCFF/EV floor, symmetric EV-ratio outlier (4.0x or more), or unverified physical proxy. CAUTION = facility match coverage below 75%. These labels prevent unstable or weakly supported observations from entering an ordinary rank chart.</x:v>
      </x:c>
      <x:c r="D37" s="66" t="str">
        <x:v>EXCLUDE = terminal-FCFF/EV floor, symmetric EV-ratio outlier (4.0x or more), or unverified physical proxy. CAUTION = facility match coverage below 75%. These labels prevent unstable or weakly supported observations from entering an ordinary rank chart.</x:v>
      </x:c>
      <x:c r="E37" s="66" t="str">
        <x:v>EXCLUDE = terminal-FCFF/EV floor, symmetric EV-ratio outlier (4.0x or more), or unverified physical proxy. CAUTION = facility match coverage below 75%. These labels prevent unstable or weakly supported observations from entering an ordinary rank chart.</x:v>
      </x:c>
      <x:c r="F37" s="66" t="str">
        <x:v>EXCLUDE = terminal-FCFF/EV floor, symmetric EV-ratio outlier (4.0x or more), or unverified physical proxy. CAUTION = facility match coverage below 75%. These labels prevent unstable or weakly supported observations from entering an ordinary rank chart.</x:v>
      </x:c>
    </x:row>
    <x:row r="38">
      <x:c r="A38" s="66" t="str">
        <x:v>EXCLUDE = terminal-FCFF/EV floor, symmetric EV-ratio outlier (4.0x or more), or unverified physical proxy. CAUTION = facility match coverage below 75%. These labels prevent unstable or weakly supported observations from entering an ordinary rank chart.</x:v>
      </x:c>
      <x:c r="B38" s="66" t="str">
        <x:v>EXCLUDE = terminal-FCFF/EV floor, symmetric EV-ratio outlier (4.0x or more), or unverified physical proxy. CAUTION = facility match coverage below 75%. These labels prevent unstable or weakly supported observations from entering an ordinary rank chart.</x:v>
      </x:c>
      <x:c r="C38" s="66" t="str">
        <x:v>EXCLUDE = terminal-FCFF/EV floor, symmetric EV-ratio outlier (4.0x or more), or unverified physical proxy. CAUTION = facility match coverage below 75%. These labels prevent unstable or weakly supported observations from entering an ordinary rank chart.</x:v>
      </x:c>
      <x:c r="D38" s="66" t="str">
        <x:v>EXCLUDE = terminal-FCFF/EV floor, symmetric EV-ratio outlier (4.0x or more), or unverified physical proxy. CAUTION = facility match coverage below 75%. These labels prevent unstable or weakly supported observations from entering an ordinary rank chart.</x:v>
      </x:c>
      <x:c r="E38" s="66" t="str">
        <x:v>EXCLUDE = terminal-FCFF/EV floor, symmetric EV-ratio outlier (4.0x or more), or unverified physical proxy. CAUTION = facility match coverage below 75%. These labels prevent unstable or weakly supported observations from entering an ordinary rank chart.</x:v>
      </x:c>
      <x:c r="F38" s="66" t="str">
        <x:v>EXCLUDE = terminal-FCFF/EV floor, symmetric EV-ratio outlier (4.0x or more), or unverified physical proxy. CAUTION = facility match coverage below 75%. These labels prevent unstable or weakly supported observations from entering an ordinary rank chart.</x:v>
      </x:c>
    </x:row>
  </x:sheetData>
  <x:mergeCells>
    <x:mergeCell ref="A1:F1"/>
    <x:mergeCell ref="A2:F2"/>
    <x:mergeCell ref="A4:F4"/>
    <x:mergeCell ref="A15:F15"/>
    <x:mergeCell ref="A26:F26"/>
    <x:mergeCell ref="A37:F38"/>
  </x:mergeCells>
  <x:conditionalFormatting sqref="B28:F35">
    <x:cfRule type="containsText" dxfId="31" priority="1" operator="containsText" text="OK"/>
    <x:cfRule type="containsText" dxfId="32" priority="2" operator="containsText" text="RANKABLE"/>
    <x:cfRule type="containsText" dxfId="33" priority="3" operator="containsText" text="CAUTION"/>
    <x:cfRule type="containsText" dxfId="34" priority="4" operator="containsText" text="WARN"/>
    <x:cfRule type="containsText" dxfId="35" priority="5" operator="containsText" text="EXCLUDE"/>
    <x:cfRule type="containsText" dxfId="36" priority="6" operator="containsText" text="FAIL"/>
    <x:cfRule type="containsText" dxfId="37" priority="7" operator="containsText" text="LIMITE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8" hidden="0" customWidth="1"/>
    <x:col min="4" max="4" width="10" hidden="0" customWidth="1"/>
    <x:col min="5" max="5" width="15" hidden="0" customWidth="1"/>
    <x:col min="6" max="6" width="15" hidden="0" customWidth="1"/>
    <x:col min="7" max="7" width="16" hidden="0" customWidth="1"/>
    <x:col min="8" max="8" width="16" hidden="0" customWidth="1"/>
    <x:col min="9" max="9" width="16" hidden="0" customWidth="1"/>
    <x:col min="10" max="10" width="18" hidden="0" customWidth="1"/>
    <x:col min="11" max="11" width="14" hidden="0" customWidth="1"/>
    <x:col min="12" max="12" width="16" hidden="0" customWidth="1"/>
    <x:col min="13" max="13" width="18" hidden="0" customWidth="1"/>
    <x:col min="14" max="14" width="18" hidden="0" customWidth="1"/>
    <x:col min="15" max="15" width="12" hidden="0" customWidth="1"/>
    <x:col min="16" max="16" width="14" hidden="0" customWidth="1"/>
    <x:col min="17" max="17" width="16" hidden="0" customWidth="1"/>
    <x:col min="18" max="18" width="20" hidden="0" customWidth="1"/>
    <x:col min="19" max="19" width="24" hidden="0" customWidth="1"/>
    <x:col min="20" max="20" width="14" hidden="0" customWidth="1"/>
    <x:col min="21" max="21" width="48" hidden="0" customWidth="1"/>
  </x:cols>
  <x:sheetData>
    <x:row r="1" ht="30" customHeight="1">
      <x:c r="A1" s="18" t="str">
        <x:v>Decision View - revised interpretation layer</x:v>
      </x:c>
      <x:c r="B1" s="18" t="str">
        <x:v>Decision View - revised interpretation layer</x:v>
      </x:c>
      <x:c r="C1" s="18" t="str">
        <x:v>Decision View - revised interpretation layer</x:v>
      </x:c>
      <x:c r="D1" s="18" t="str">
        <x:v>Decision View - revised interpretation layer</x:v>
      </x:c>
      <x:c r="E1" s="18" t="str">
        <x:v>Decision View - revised interpretation layer</x:v>
      </x:c>
      <x:c r="F1" s="18" t="str">
        <x:v>Decision View - revised interpretation layer</x:v>
      </x:c>
      <x:c r="G1" s="18" t="str">
        <x:v>Decision View - revised interpretation layer</x:v>
      </x:c>
      <x:c r="H1" s="18" t="str">
        <x:v>Decision View - revised interpretation layer</x:v>
      </x:c>
      <x:c r="I1" s="18" t="str">
        <x:v>Decision View - revised interpretation layer</x:v>
      </x:c>
      <x:c r="J1" s="18" t="str">
        <x:v>Decision View - revised interpretation layer</x:v>
      </x:c>
      <x:c r="K1" s="18" t="str">
        <x:v>Decision View - revised interpretation layer</x:v>
      </x:c>
      <x:c r="L1" s="18" t="str">
        <x:v>Decision View - revised interpretation layer</x:v>
      </x:c>
      <x:c r="M1" s="18" t="str">
        <x:v>Decision View - revised interpretation layer</x:v>
      </x:c>
      <x:c r="N1" s="18" t="str">
        <x:v>Decision View - revised interpretation layer</x:v>
      </x:c>
      <x:c r="O1" s="18" t="str">
        <x:v>Decision View - revised interpretation layer</x:v>
      </x:c>
      <x:c r="P1" s="18" t="str">
        <x:v>Decision View - revised interpretation layer</x:v>
      </x:c>
      <x:c r="Q1" s="18" t="str">
        <x:v>Decision View - revised interpretation layer</x:v>
      </x:c>
      <x:c r="R1" s="18" t="str">
        <x:v>Decision View - revised interpretation layer</x:v>
      </x:c>
      <x:c r="S1" s="18" t="str">
        <x:v>Decision View - revised interpretation layer</x:v>
      </x:c>
      <x:c r="T1" s="18" t="str">
        <x:v>Decision View - revised interpretation layer</x:v>
      </x:c>
      <x:c r="U1" s="18" t="str">
        <x:v>Decision View - revised interpretation layer</x:v>
      </x:c>
    </x:row>
    <x:row r="2" ht="28" customHeight="1">
      <x:c r="A2" s="22" t="str">
        <x:v>Original results are preserved on Results Raw. This sheet standardizes percentages, exposes terminal-FCFF clipping, adds symmetric EV differences and dollar deltas, and blocks unreliable rows from ordinary rankings.</x:v>
      </x:c>
      <x:c r="B2" s="22" t="str">
        <x:v>Original results are preserved on Results Raw. This sheet standardizes percentages, exposes terminal-FCFF clipping, adds symmetric EV differences and dollar deltas, and blocks unreliable rows from ordinary rankings.</x:v>
      </x:c>
      <x:c r="C2" s="22" t="str">
        <x:v>Original results are preserved on Results Raw. This sheet standardizes percentages, exposes terminal-FCFF clipping, adds symmetric EV differences and dollar deltas, and blocks unreliable rows from ordinary rankings.</x:v>
      </x:c>
      <x:c r="D2" s="22" t="str">
        <x:v>Original results are preserved on Results Raw. This sheet standardizes percentages, exposes terminal-FCFF clipping, adds symmetric EV differences and dollar deltas, and blocks unreliable rows from ordinary rankings.</x:v>
      </x:c>
      <x:c r="E2" s="22" t="str">
        <x:v>Original results are preserved on Results Raw. This sheet standardizes percentages, exposes terminal-FCFF clipping, adds symmetric EV differences and dollar deltas, and blocks unreliable rows from ordinary rankings.</x:v>
      </x:c>
      <x:c r="F2" s="22" t="str">
        <x:v>Original results are preserved on Results Raw. This sheet standardizes percentages, exposes terminal-FCFF clipping, adds symmetric EV differences and dollar deltas, and blocks unreliable rows from ordinary rankings.</x:v>
      </x:c>
      <x:c r="G2" s="22" t="str">
        <x:v>Original results are preserved on Results Raw. This sheet standardizes percentages, exposes terminal-FCFF clipping, adds symmetric EV differences and dollar deltas, and blocks unreliable rows from ordinary rankings.</x:v>
      </x:c>
      <x:c r="H2" s="22" t="str">
        <x:v>Original results are preserved on Results Raw. This sheet standardizes percentages, exposes terminal-FCFF clipping, adds symmetric EV differences and dollar deltas, and blocks unreliable rows from ordinary rankings.</x:v>
      </x:c>
      <x:c r="I2" s="22" t="str">
        <x:v>Original results are preserved on Results Raw. This sheet standardizes percentages, exposes terminal-FCFF clipping, adds symmetric EV differences and dollar deltas, and blocks unreliable rows from ordinary rankings.</x:v>
      </x:c>
      <x:c r="J2" s="22" t="str">
        <x:v>Original results are preserved on Results Raw. This sheet standardizes percentages, exposes terminal-FCFF clipping, adds symmetric EV differences and dollar deltas, and blocks unreliable rows from ordinary rankings.</x:v>
      </x:c>
      <x:c r="K2" s="22" t="str">
        <x:v>Original results are preserved on Results Raw. This sheet standardizes percentages, exposes terminal-FCFF clipping, adds symmetric EV differences and dollar deltas, and blocks unreliable rows from ordinary rankings.</x:v>
      </x:c>
      <x:c r="L2" s="22" t="str">
        <x:v>Original results are preserved on Results Raw. This sheet standardizes percentages, exposes terminal-FCFF clipping, adds symmetric EV differences and dollar deltas, and blocks unreliable rows from ordinary rankings.</x:v>
      </x:c>
      <x:c r="M2" s="22" t="str">
        <x:v>Original results are preserved on Results Raw. This sheet standardizes percentages, exposes terminal-FCFF clipping, adds symmetric EV differences and dollar deltas, and blocks unreliable rows from ordinary rankings.</x:v>
      </x:c>
      <x:c r="N2" s="22" t="str">
        <x:v>Original results are preserved on Results Raw. This sheet standardizes percentages, exposes terminal-FCFF clipping, adds symmetric EV differences and dollar deltas, and blocks unreliable rows from ordinary rankings.</x:v>
      </x:c>
      <x:c r="O2" s="22" t="str">
        <x:v>Original results are preserved on Results Raw. This sheet standardizes percentages, exposes terminal-FCFF clipping, adds symmetric EV differences and dollar deltas, and blocks unreliable rows from ordinary rankings.</x:v>
      </x:c>
      <x:c r="P2" s="22" t="str">
        <x:v>Original results are preserved on Results Raw. This sheet standardizes percentages, exposes terminal-FCFF clipping, adds symmetric EV differences and dollar deltas, and blocks unreliable rows from ordinary rankings.</x:v>
      </x:c>
      <x:c r="Q2" s="22" t="str">
        <x:v>Original results are preserved on Results Raw. This sheet standardizes percentages, exposes terminal-FCFF clipping, adds symmetric EV differences and dollar deltas, and blocks unreliable rows from ordinary rankings.</x:v>
      </x:c>
      <x:c r="R2" s="22" t="str">
        <x:v>Original results are preserved on Results Raw. This sheet standardizes percentages, exposes terminal-FCFF clipping, adds symmetric EV differences and dollar deltas, and blocks unreliable rows from ordinary rankings.</x:v>
      </x:c>
      <x:c r="S2" s="22" t="str">
        <x:v>Original results are preserved on Results Raw. This sheet standardizes percentages, exposes terminal-FCFF clipping, adds symmetric EV differences and dollar deltas, and blocks unreliable rows from ordinary rankings.</x:v>
      </x:c>
      <x:c r="T2" s="22" t="str">
        <x:v>Original results are preserved on Results Raw. This sheet standardizes percentages, exposes terminal-FCFF clipping, adds symmetric EV differences and dollar deltas, and blocks unreliable rows from ordinary rankings.</x:v>
      </x:c>
      <x:c r="U2" s="22" t="str">
        <x:v>Original results are preserved on Results Raw. This sheet standardizes percentages, exposes terminal-FCFF clipping, adds symmetric EV differences and dollar deltas, and blocks unreliable rows from ordinary rankings.</x:v>
      </x:c>
    </x:row>
    <x:row r="4">
      <x:c r="A4" s="7" t="str">
        <x:v>Ticker</x:v>
      </x:c>
      <x:c r="B4" s="7" t="str">
        <x:v>Sector</x:v>
      </x:c>
      <x:c r="C4" s="7" t="str">
        <x:v>Scenario pair</x:v>
      </x:c>
      <x:c r="D4" s="7" t="str">
        <x:v>Case</x:v>
      </x:c>
      <x:c r="E4" s="7" t="str">
        <x:v>Original EV impact</x:v>
      </x:c>
      <x:c r="F4" s="7" t="str">
        <x:v>EV delta ($bn)</x:v>
      </x:c>
      <x:c r="G4" s="7" t="str">
        <x:v>Symmetric EV difference</x:v>
      </x:c>
      <x:c r="H4" s="7" t="str">
        <x:v>Transition contribution</x:v>
      </x:c>
      <x:c r="I4" s="7" t="str">
        <x:v>Physical contribution</x:v>
      </x:c>
      <x:c r="J4" s="7" t="str">
        <x:v>Macro / supply contribution</x:v>
      </x:c>
      <x:c r="K4" s="7" t="str">
        <x:v>Channel recon. error</x:v>
      </x:c>
      <x:c r="L4" s="7" t="str">
        <x:v>Raw terminal cost ($bn)</x:v>
      </x:c>
      <x:c r="M4" s="7" t="str">
        <x:v>Applied terminal FCFF delta ($bn)</x:v>
      </x:c>
      <x:c r="N4" s="7" t="str">
        <x:v>Clipped / unapplied cost ($bn)</x:v>
      </x:c>
      <x:c r="O4" s="7" t="str">
        <x:v>EV ratio (x)</x:v>
      </x:c>
      <x:c r="P4" s="7" t="str">
        <x:v>Facility coverage</x:v>
      </x:c>
      <x:c r="Q4" s="7" t="str">
        <x:v>Physical confidence</x:v>
      </x:c>
      <x:c r="R4" s="7" t="str">
        <x:v>Data quality</x:v>
      </x:c>
      <x:c r="S4" s="7" t="str">
        <x:v>Boundary status</x:v>
      </x:c>
      <x:c r="T4" s="7" t="str">
        <x:v>Ranking use</x:v>
      </x:c>
      <x:c r="U4" s="7" t="str">
        <x:v>Interpretation</x:v>
      </x:c>
    </x:row>
    <x:row r="5">
      <x:c r="A5" s="28" t="str">
        <x:f>'Results Raw'!$A$2</x:f>
        <x:v>AAPL</x:v>
      </x:c>
      <x:c r="B5" s="28" t="str">
        <x:f>'Results Raw'!$B$2</x:f>
        <x:v>Technology</x:v>
      </x:c>
      <x:c r="C5" s="28" t="str">
        <x:f>'Results Raw'!$E$2</x:f>
        <x:v>CP vs baseline</x:v>
      </x:c>
      <x:c r="D5" s="28" t="str">
        <x:f>'Results Raw'!$I$2</x:f>
        <x:v>low</x:v>
      </x:c>
      <x:c r="E5" s="30" t="n">
        <x:f>'Results Raw'!$M$2/100</x:f>
        <x:v>-0.0027211407681032584</x:v>
      </x:c>
      <x:c r="F5" s="32" t="n">
        <x:f>('Results Raw'!$O$2-'Results Raw'!$N$2)/1000000000</x:f>
        <x:v>-4.113908258968506</x:v>
      </x:c>
      <x:c r="G5" s="30" t="n">
        <x:f>IF(ABS('Results Raw'!$O$2)+ABS('Results Raw'!$N$2)=0,"",2*('Results Raw'!$O$2-'Results Raw'!$N$2)/(ABS('Results Raw'!$O$2)+ABS('Results Raw'!$N$2)))</x:f>
        <x:v>-0.0027248481157505938</x:v>
      </x:c>
      <x:c r="H5" s="30" t="n">
        <x:f>'Results Raw'!$Z$2/100</x:f>
        <x:v>-1.0631669222089528e-7</x:v>
      </x:c>
      <x:c r="I5" s="30" t="n">
        <x:f>'Results Raw'!$AA$2/100</x:f>
        <x:v>-0.0005417732050826352</x:v>
      </x:c>
      <x:c r="J5" s="30" t="n">
        <x:f>'Results Raw'!$AB$2/100</x:f>
        <x:v>-0.002179261246328408</x:v>
      </x:c>
      <x:c r="K5" s="34" t="n">
        <x:f>ABS(E5-SUM(H5:J5))</x:f>
        <x:v>5.204170427930421e-18</x:v>
      </x:c>
      <x:c r="L5" s="36" t="n">
        <x:f>('Results Raw'!$W$2+'Results Raw'!$X$2+'Results Raw'!$Y$2)/1000000000</x:f>
        <x:v>0.9290799156198409</x:v>
      </x:c>
      <x:c r="M5" s="36" t="n">
        <x:f>'Results Raw'!$R$2/1000000000</x:f>
        <x:v>-0.9290799156198425</x:v>
      </x:c>
      <x:c r="N5" s="36" t="n">
        <x:f>ABS('Results Raw'!$R$2+'Results Raw'!$W$2+'Results Raw'!$X$2+'Results Raw'!$Y$2)/1000000000</x:f>
        <x:v>1.5497207641601563e-15</x:v>
      </x:c>
      <x:c r="O5" s="38" t="n">
        <x:f>IF(MIN(ABS('Results Raw'!$O$2),ABS('Results Raw'!$N$2))=0,"",MAX(ABS('Results Raw'!$O$2)/ABS('Results Raw'!$N$2),ABS('Results Raw'!$N$2)/ABS('Results Raw'!$O$2)))</x:f>
        <x:v>1.0027285655791391</x:v>
      </x:c>
      <x:c r="P5" s="40" t="str">
        <x:f>IF('Results Raw'!$AO$2="","",'Results Raw'!$AO$2/100)</x:f>
      </x:c>
      <x:c r="Q5" s="28" t="str">
        <x:f>'Results Raw'!$AP$2</x:f>
        <x:v>Unverified</x:v>
      </x:c>
      <x:c r="R5" s="28" t="str">
        <x:f>IF(Q5="Unverified","PROXY / UNVERIFIED",IF(P5="","MISSING COVERAGE",IF(P5&lt;75%,"LIMITED COVERAGE","VERIFIED")))</x:f>
        <x:v>PROXY / UNVERIFIED</x:v>
      </x:c>
      <x:c r="S5" s="28" t="str">
        <x:f>IF(N5&gt;0.000001,"TERMINAL FCFF FLOOR",IF(OR('Results Raw'!$BK$2=TRUE,'Results Raw'!$BL$2=TRUE),"EV FLOOR",IF(OR(O5="",O5&gt;=4),"DENOMINATOR-SENSITIVE","NORMAL")))</x:f>
        <x:v>NORMAL</x:v>
      </x:c>
      <x:c r="T5" s="28" t="str">
        <x:f>IF(OR(R5="PROXY / UNVERIFIED",R5="MISSING COVERAGE",S5&lt;&gt;"NORMAL"),"EXCLUDE",IF(R5="LIMITED COVERAGE","CAUTION","RANKABLE"))</x:f>
        <x:v>EXCLUDE</x:v>
      </x:c>
      <x:c r="U5" s="42" t="str">
        <x:f>IF(T5="EXCLUDE","Illustrative only - do not assign an ordinary rank",IF(T5="CAUTION","Use with facility-coverage caveat","Decision-useable within the stated scenario only"))</x:f>
        <x:v>Illustrative only - do not assign an ordinary rank</x:v>
      </x:c>
    </x:row>
    <x:row r="6">
      <x:c r="A6" s="29" t="str">
        <x:f>'Results Raw'!$A$3</x:f>
        <x:v>AAPL</x:v>
      </x:c>
      <x:c r="B6" s="29" t="str">
        <x:f>'Results Raw'!$B$3</x:f>
        <x:v>Technology</x:v>
      </x:c>
      <x:c r="C6" s="29" t="str">
        <x:f>'Results Raw'!$E$3</x:f>
        <x:v>CP vs baseline</x:v>
      </x:c>
      <x:c r="D6" s="29" t="str">
        <x:f>'Results Raw'!$I$3</x:f>
        <x:v>base</x:v>
      </x:c>
      <x:c r="E6" s="31" t="n">
        <x:f>'Results Raw'!$M$3/100</x:f>
        <x:v>-0.005539403113981378</x:v>
      </x:c>
      <x:c r="F6" s="33" t="n">
        <x:f>('Results Raw'!$O$3-'Results Raw'!$N$3)/1000000000</x:f>
        <x:v>-8.374648047424804</x:v>
      </x:c>
      <x:c r="G6" s="31" t="n">
        <x:f>IF(ABS('Results Raw'!$O$3)+ABS('Results Raw'!$N$3)=0,"",2*('Results Raw'!$O$3-'Results Raw'!$N$3)/(ABS('Results Raw'!$O$3)+ABS('Results Raw'!$N$3)))</x:f>
        <x:v>-0.005554788219561897</x:v>
      </x:c>
      <x:c r="H6" s="31" t="n">
        <x:f>'Results Raw'!$Z$3/100</x:f>
        <x:v>-5.011940900586668e-7</x:v>
      </x:c>
      <x:c r="I6" s="31" t="n">
        <x:f>'Results Raw'!$AA$3/100</x:f>
        <x:v>-0.0018030254976141623</x:v>
      </x:c>
      <x:c r="J6" s="31" t="n">
        <x:f>'Results Raw'!$AB$3/100</x:f>
        <x:v>-0.003735876422277202</x:v>
      </x:c>
      <x:c r="K6" s="35" t="n">
        <x:f>ABS(E6-SUM(H6:J6))</x:f>
        <x:v>4.5102810375396984e-17</x:v>
      </x:c>
      <x:c r="L6" s="37" t="n">
        <x:f>('Results Raw'!$W$3+'Results Raw'!$X$3+'Results Raw'!$Y$3)/1000000000</x:f>
        <x:v>1.769954748182499</x:v>
      </x:c>
      <x:c r="M6" s="37" t="n">
        <x:f>'Results Raw'!$R$3/1000000000</x:f>
        <x:v>-1.769954748182495</x:v>
      </x:c>
      <x:c r="N6" s="37" t="n">
        <x:f>ABS('Results Raw'!$R$3+'Results Raw'!$W$3+'Results Raw'!$X$3+'Results Raw'!$Y$3)/1000000000</x:f>
        <x:v>4.0531158447265625e-15</x:v>
      </x:c>
      <x:c r="O6" s="39" t="n">
        <x:f>IF(MIN(ABS('Results Raw'!$O$3),ABS('Results Raw'!$N$3))=0,"",MAX(ABS('Results Raw'!$O$3)/ABS('Results Raw'!$N$3),ABS('Results Raw'!$N$3)/ABS('Results Raw'!$O$3)))</x:f>
        <x:v>1.0055702590241655</x:v>
      </x:c>
      <x:c r="P6" s="41" t="str">
        <x:f>IF('Results Raw'!$AO$3="","",'Results Raw'!$AO$3/100)</x:f>
      </x:c>
      <x:c r="Q6" s="29" t="str">
        <x:f>'Results Raw'!$AP$3</x:f>
        <x:v>Unverified</x:v>
      </x:c>
      <x:c r="R6" s="29" t="str">
        <x:f>IF(Q6="Unverified","PROXY / UNVERIFIED",IF(P6="","MISSING COVERAGE",IF(P6&lt;75%,"LIMITED COVERAGE","VERIFIED")))</x:f>
        <x:v>PROXY / UNVERIFIED</x:v>
      </x:c>
      <x:c r="S6" s="29" t="str">
        <x:f>IF(N6&gt;0.000001,"TERMINAL FCFF FLOOR",IF(OR('Results Raw'!$BK$3=TRUE,'Results Raw'!$BL$3=TRUE),"EV FLOOR",IF(OR(O6="",O6&gt;=4),"DENOMINATOR-SENSITIVE","NORMAL")))</x:f>
        <x:v>NORMAL</x:v>
      </x:c>
      <x:c r="T6" s="29" t="str">
        <x:f>IF(OR(R6="PROXY / UNVERIFIED",R6="MISSING COVERAGE",S6&lt;&gt;"NORMAL"),"EXCLUDE",IF(R6="LIMITED COVERAGE","CAUTION","RANKABLE"))</x:f>
        <x:v>EXCLUDE</x:v>
      </x:c>
      <x:c r="U6" s="43" t="str">
        <x:f>IF(T6="EXCLUDE","Illustrative only - do not assign an ordinary rank",IF(T6="CAUTION","Use with facility-coverage caveat","Decision-useable within the stated scenario only"))</x:f>
        <x:v>Illustrative only - do not assign an ordinary rank</x:v>
      </x:c>
    </x:row>
    <x:row r="7">
      <x:c r="A7" s="29" t="str">
        <x:f>'Results Raw'!$A$4</x:f>
        <x:v>AAPL</x:v>
      </x:c>
      <x:c r="B7" s="29" t="str">
        <x:f>'Results Raw'!$B$4</x:f>
        <x:v>Technology</x:v>
      </x:c>
      <x:c r="C7" s="29" t="str">
        <x:f>'Results Raw'!$E$4</x:f>
        <x:v>CP vs baseline</x:v>
      </x:c>
      <x:c r="D7" s="29" t="str">
        <x:f>'Results Raw'!$I$4</x:f>
        <x:v>high</x:v>
      </x:c>
      <x:c r="E7" s="31" t="n">
        <x:f>'Results Raw'!$M$4/100</x:f>
        <x:v>-0.011979239537032282</x:v>
      </x:c>
      <x:c r="F7" s="33" t="n">
        <x:f>('Results Raw'!$O$4-'Results Raw'!$N$4)/1000000000</x:f>
        <x:v>-18.11060017373169</x:v>
      </x:c>
      <x:c r="G7" s="31" t="n">
        <x:f>IF(ABS('Results Raw'!$O$4)+ABS('Results Raw'!$N$4)=0,"",2*('Results Raw'!$O$4-'Results Raw'!$N$4)/(ABS('Results Raw'!$O$4)+ABS('Results Raw'!$N$4)))</x:f>
        <x:v>-0.012051422978342156</x:v>
      </x:c>
      <x:c r="H7" s="31" t="n">
        <x:f>'Results Raw'!$Z$4/100</x:f>
        <x:v>-0.000001995209134836152</x:v>
      </x:c>
      <x:c r="I7" s="31" t="n">
        <x:f>'Results Raw'!$AA$4/100</x:f>
        <x:v>-0.005750783624102102</x:v>
      </x:c>
      <x:c r="J7" s="31" t="n">
        <x:f>'Results Raw'!$AB$4/100</x:f>
        <x:v>-0.00622646070379539</x:v>
      </x:c>
      <x:c r="K7" s="35" t="n">
        <x:f>ABS(E7-SUM(H7:J7))</x:f>
        <x:v>4.5102810375396984e-17</x:v>
      </x:c>
      <x:c r="L7" s="37" t="n">
        <x:f>('Results Raw'!$W$4+'Results Raw'!$X$4+'Results Raw'!$Y$4)/1000000000</x:f>
        <x:v>3.505110712609044</x:v>
      </x:c>
      <x:c r="M7" s="37" t="n">
        <x:f>'Results Raw'!$R$4/1000000000</x:f>
        <x:v>-3.5051107126090395</x:v>
      </x:c>
      <x:c r="N7" s="37" t="n">
        <x:f>ABS('Results Raw'!$R$4+'Results Raw'!$W$4+'Results Raw'!$X$4+'Results Raw'!$Y$4)/1000000000</x:f>
        <x:v>4.76837158203125e-15</x:v>
      </x:c>
      <x:c r="O7" s="39" t="n">
        <x:f>IF(MIN(ABS('Results Raw'!$O$4),ABS('Results Raw'!$N$4))=0,"",MAX(ABS('Results Raw'!$O$4)/ABS('Results Raw'!$N$4),ABS('Results Raw'!$N$4)/ABS('Results Raw'!$O$4)))</x:f>
        <x:v>1.0121244816064585</x:v>
      </x:c>
      <x:c r="P7" s="41" t="str">
        <x:f>IF('Results Raw'!$AO$4="","",'Results Raw'!$AO$4/100)</x:f>
      </x:c>
      <x:c r="Q7" s="29" t="str">
        <x:f>'Results Raw'!$AP$4</x:f>
        <x:v>Unverified</x:v>
      </x:c>
      <x:c r="R7" s="29" t="str">
        <x:f>IF(Q7="Unverified","PROXY / UNVERIFIED",IF(P7="","MISSING COVERAGE",IF(P7&lt;75%,"LIMITED COVERAGE","VERIFIED")))</x:f>
        <x:v>PROXY / UNVERIFIED</x:v>
      </x:c>
      <x:c r="S7" s="29" t="str">
        <x:f>IF(N7&gt;0.000001,"TERMINAL FCFF FLOOR",IF(OR('Results Raw'!$BK$4=TRUE,'Results Raw'!$BL$4=TRUE),"EV FLOOR",IF(OR(O7="",O7&gt;=4),"DENOMINATOR-SENSITIVE","NORMAL")))</x:f>
        <x:v>NORMAL</x:v>
      </x:c>
      <x:c r="T7" s="29" t="str">
        <x:f>IF(OR(R7="PROXY / UNVERIFIED",R7="MISSING COVERAGE",S7&lt;&gt;"NORMAL"),"EXCLUDE",IF(R7="LIMITED COVERAGE","CAUTION","RANKABLE"))</x:f>
        <x:v>EXCLUDE</x:v>
      </x:c>
      <x:c r="U7" s="43" t="str">
        <x:f>IF(T7="EXCLUDE","Illustrative only - do not assign an ordinary rank",IF(T7="CAUTION","Use with facility-coverage caveat","Decision-useable within the stated scenario only"))</x:f>
        <x:v>Illustrative only - do not assign an ordinary rank</x:v>
      </x:c>
    </x:row>
    <x:row r="8">
      <x:c r="A8" s="29" t="str">
        <x:f>'Results Raw'!$A$5</x:f>
        <x:v>CAT</x:v>
      </x:c>
      <x:c r="B8" s="29" t="str">
        <x:f>'Results Raw'!$B$5</x:f>
        <x:v>Industrials</x:v>
      </x:c>
      <x:c r="C8" s="29" t="str">
        <x:f>'Results Raw'!$E$5</x:f>
        <x:v>CP vs baseline</x:v>
      </x:c>
      <x:c r="D8" s="29" t="str">
        <x:f>'Results Raw'!$I$5</x:f>
        <x:v>low</x:v>
      </x:c>
      <x:c r="E8" s="31" t="n">
        <x:f>'Results Raw'!$M$5/100</x:f>
        <x:v>-0.0028339943304145354</x:v>
      </x:c>
      <x:c r="F8" s="33" t="n">
        <x:f>('Results Raw'!$O$5-'Results Raw'!$N$5)/1000000000</x:f>
        <x:v>-0.3447310892624359</x:v>
      </x:c>
      <x:c r="G8" s="31" t="n">
        <x:f>IF(ABS('Results Raw'!$O$5)+ABS('Results Raw'!$N$5)=0,"",2*('Results Raw'!$O$5-'Results Raw'!$N$5)/(ABS('Results Raw'!$O$5)+ABS('Results Raw'!$N$5)))</x:f>
        <x:v>-0.0028380157907448344</x:v>
      </x:c>
      <x:c r="H8" s="31" t="n">
        <x:f>'Results Raw'!$Z$5/100</x:f>
        <x:v>-0.00001666038519903736</x:v>
      </x:c>
      <x:c r="I8" s="31" t="n">
        <x:f>'Results Raw'!$AA$5/100</x:f>
        <x:v>-0.0005565339617883704</x:v>
      </x:c>
      <x:c r="J8" s="31" t="n">
        <x:f>'Results Raw'!$AB$5/100</x:f>
        <x:v>-0.0022607999834271275</x:v>
      </x:c>
      <x:c r="K8" s="35" t="n">
        <x:f>ABS(E8-SUM(H8:J8))</x:f>
        <x:v>0</x:v>
      </x:c>
      <x:c r="L8" s="37" t="n">
        <x:f>('Results Raw'!$W$5+'Results Raw'!$X$5+'Results Raw'!$Y$5)/1000000000</x:f>
        <x:v>0.10680642213025689</x:v>
      </x:c>
      <x:c r="M8" s="37" t="n">
        <x:f>'Results Raw'!$R$5/1000000000</x:f>
        <x:v>-0.10680642213025665</x:v>
      </x:c>
      <x:c r="N8" s="37" t="n">
        <x:f>ABS('Results Raw'!$R$5+'Results Raw'!$W$5+'Results Raw'!$X$5+'Results Raw'!$Y$5)/1000000000</x:f>
        <x:v>2.384185791015625e-16</x:v>
      </x:c>
      <x:c r="O8" s="39" t="n">
        <x:f>IF(MIN(ABS('Results Raw'!$O$5),ABS('Results Raw'!$N$5))=0,"",MAX(ABS('Results Raw'!$O$5)/ABS('Results Raw'!$N$5),ABS('Results Raw'!$N$5)/ABS('Results Raw'!$O$5)))</x:f>
        <x:v>1.0028420486802612</x:v>
      </x:c>
      <x:c r="P8" s="41" t="n">
        <x:f>IF('Results Raw'!$AO$5="","",'Results Raw'!$AO$5/100)</x:f>
        <x:v>1</x:v>
      </x:c>
      <x:c r="Q8" s="29" t="str">
        <x:f>'Results Raw'!$AP$5</x:f>
        <x:v>High</x:v>
      </x:c>
      <x:c r="R8" s="29" t="str">
        <x:f>IF(Q8="Unverified","PROXY / UNVERIFIED",IF(P8="","MISSING COVERAGE",IF(P8&lt;75%,"LIMITED COVERAGE","VERIFIED")))</x:f>
        <x:v>VERIFIED</x:v>
      </x:c>
      <x:c r="S8" s="29" t="str">
        <x:f>IF(N8&gt;0.000001,"TERMINAL FCFF FLOOR",IF(OR('Results Raw'!$BK$5=TRUE,'Results Raw'!$BL$5=TRUE),"EV FLOOR",IF(OR(O8="",O8&gt;=4),"DENOMINATOR-SENSITIVE","NORMAL")))</x:f>
        <x:v>NORMAL</x:v>
      </x:c>
      <x:c r="T8" s="29" t="str">
        <x:f>IF(OR(R8="PROXY / UNVERIFIED",R8="MISSING COVERAGE",S8&lt;&gt;"NORMAL"),"EXCLUDE",IF(R8="LIMITED COVERAGE","CAUTION","RANKABLE"))</x:f>
        <x:v>RANKABLE</x:v>
      </x:c>
      <x:c r="U8" s="43" t="str">
        <x:f>IF(T8="EXCLUDE","Illustrative only - do not assign an ordinary rank",IF(T8="CAUTION","Use with facility-coverage caveat","Decision-useable within the stated scenario only"))</x:f>
        <x:v>Decision-useable within the stated scenario only</x:v>
      </x:c>
    </x:row>
    <x:row r="9">
      <x:c r="A9" s="29" t="str">
        <x:f>'Results Raw'!$A$6</x:f>
        <x:v>CAT</x:v>
      </x:c>
      <x:c r="B9" s="29" t="str">
        <x:f>'Results Raw'!$B$6</x:f>
        <x:v>Industrials</x:v>
      </x:c>
      <x:c r="C9" s="29" t="str">
        <x:f>'Results Raw'!$E$6</x:f>
        <x:v>CP vs baseline</x:v>
      </x:c>
      <x:c r="D9" s="29" t="str">
        <x:f>'Results Raw'!$I$6</x:f>
        <x:v>base</x:v>
      </x:c>
      <x:c r="E9" s="31" t="n">
        <x:f>'Results Raw'!$M$6/100</x:f>
        <x:v>-0.005795814964330126</x:v>
      </x:c>
      <x:c r="F9" s="33" t="n">
        <x:f>('Results Raw'!$O$6-'Results Raw'!$N$6)/1000000000</x:f>
        <x:v>-0.7050111513542786</x:v>
      </x:c>
      <x:c r="G9" s="31" t="n">
        <x:f>IF(ABS('Results Raw'!$O$6)+ABS('Results Raw'!$N$6)=0,"",2*('Results Raw'!$O$6-'Results Raw'!$N$6)/(ABS('Results Raw'!$O$6)+ABS('Results Raw'!$N$6)))</x:f>
        <x:v>-0.005812659513826518</x:v>
      </x:c>
      <x:c r="H9" s="31" t="n">
        <x:f>'Results Raw'!$Z$6/100</x:f>
        <x:v>-0.00007867990977488747</x:v>
      </x:c>
      <x:c r="I9" s="31" t="n">
        <x:f>'Results Raw'!$AA$6/100</x:f>
        <x:v>-0.0018414779401087337</x:v>
      </x:c>
      <x:c r="J9" s="31" t="n">
        <x:f>'Results Raw'!$AB$6/100</x:f>
        <x:v>-0.003875657114446501</x:v>
      </x:c>
      <x:c r="K9" s="35" t="n">
        <x:f>ABS(E9-SUM(H9:J9))</x:f>
        <x:v>3.469446951953614e-18</x:v>
      </x:c>
      <x:c r="L9" s="37" t="n">
        <x:f>('Results Raw'!$W$6+'Results Raw'!$X$6+'Results Raw'!$Y$6)/1000000000</x:f>
        <x:v>0.2030305063781456</x:v>
      </x:c>
      <x:c r="M9" s="37" t="n">
        <x:f>'Results Raw'!$R$6/1000000000</x:f>
        <x:v>-0.20303050637814712</x:v>
      </x:c>
      <x:c r="N9" s="37" t="n">
        <x:f>ABS('Results Raw'!$R$6+'Results Raw'!$W$6+'Results Raw'!$X$6+'Results Raw'!$Y$6)/1000000000</x:f>
        <x:v>1.519918441772461e-15</x:v>
      </x:c>
      <x:c r="O9" s="39" t="n">
        <x:f>IF(MIN(ABS('Results Raw'!$O$6),ABS('Results Raw'!$N$6))=0,"",MAX(ABS('Results Raw'!$O$6)/ABS('Results Raw'!$N$6),ABS('Results Raw'!$N$6)/ABS('Results Raw'!$O$6)))</x:f>
        <x:v>1.0058296022603468</x:v>
      </x:c>
      <x:c r="P9" s="41" t="n">
        <x:f>IF('Results Raw'!$AO$6="","",'Results Raw'!$AO$6/100)</x:f>
        <x:v>1</x:v>
      </x:c>
      <x:c r="Q9" s="29" t="str">
        <x:f>'Results Raw'!$AP$6</x:f>
        <x:v>High</x:v>
      </x:c>
      <x:c r="R9" s="29" t="str">
        <x:f>IF(Q9="Unverified","PROXY / UNVERIFIED",IF(P9="","MISSING COVERAGE",IF(P9&lt;75%,"LIMITED COVERAGE","VERIFIED")))</x:f>
        <x:v>VERIFIED</x:v>
      </x:c>
      <x:c r="S9" s="29" t="str">
        <x:f>IF(N9&gt;0.000001,"TERMINAL FCFF FLOOR",IF(OR('Results Raw'!$BK$6=TRUE,'Results Raw'!$BL$6=TRUE),"EV FLOOR",IF(OR(O9="",O9&gt;=4),"DENOMINATOR-SENSITIVE","NORMAL")))</x:f>
        <x:v>NORMAL</x:v>
      </x:c>
      <x:c r="T9" s="29" t="str">
        <x:f>IF(OR(R9="PROXY / UNVERIFIED",R9="MISSING COVERAGE",S9&lt;&gt;"NORMAL"),"EXCLUDE",IF(R9="LIMITED COVERAGE","CAUTION","RANKABLE"))</x:f>
        <x:v>RANKABLE</x:v>
      </x:c>
      <x:c r="U9" s="43" t="str">
        <x:f>IF(T9="EXCLUDE","Illustrative only - do not assign an ordinary rank",IF(T9="CAUTION","Use with facility-coverage caveat","Decision-useable within the stated scenario only"))</x:f>
        <x:v>Decision-useable within the stated scenario only</x:v>
      </x:c>
    </x:row>
    <x:row r="10">
      <x:c r="A10" s="29" t="str">
        <x:f>'Results Raw'!$A$7</x:f>
        <x:v>CAT</x:v>
      </x:c>
      <x:c r="B10" s="29" t="str">
        <x:f>'Results Raw'!$B$7</x:f>
        <x:v>Industrials</x:v>
      </x:c>
      <x:c r="C10" s="29" t="str">
        <x:f>'Results Raw'!$E$7</x:f>
        <x:v>CP vs baseline</x:v>
      </x:c>
      <x:c r="D10" s="29" t="str">
        <x:f>'Results Raw'!$I$7</x:f>
        <x:v>high</x:v>
      </x:c>
      <x:c r="E10" s="31" t="n">
        <x:f>'Results Raw'!$M$7/100</x:f>
        <x:v>-0.012573238733975978</x:v>
      </x:c>
      <x:c r="F10" s="33" t="n">
        <x:f>('Results Raw'!$O$7-'Results Raw'!$N$7)/1000000000</x:f>
        <x:v>-1.5294265898147277</x:v>
      </x:c>
      <x:c r="G10" s="31" t="n">
        <x:f>IF(ABS('Results Raw'!$O$7)+ABS('Results Raw'!$N$7)=0,"",2*('Results Raw'!$O$7-'Results Raw'!$N$7)/(ABS('Results Raw'!$O$7)+ABS('Results Raw'!$N$7)))</x:f>
        <x:v>-0.012652781958079878</x:v>
      </x:c>
      <x:c r="H10" s="31" t="n">
        <x:f>'Results Raw'!$Z$7/100</x:f>
        <x:v>-0.00031039179288601393</x:v>
      </x:c>
      <x:c r="I10" s="31" t="n">
        <x:f>'Results Raw'!$AA$7/100</x:f>
        <x:v>-0.0058034184170123225</x:v>
      </x:c>
      <x:c r="J10" s="31" t="n">
        <x:f>'Results Raw'!$AB$7/100</x:f>
        <x:v>-0.006459428524077599</x:v>
      </x:c>
      <x:c r="K10" s="35" t="n">
        <x:f>ABS(E10-SUM(H10:J10))</x:f>
        <x:v>4.163336342344337e-17</x:v>
      </x:c>
      <x:c r="L10" s="37" t="n">
        <x:f>('Results Raw'!$W$7+'Results Raw'!$X$7+'Results Raw'!$Y$7)/1000000000</x:f>
        <x:v>0.40113891027732934</x:v>
      </x:c>
      <x:c r="M10" s="37" t="n">
        <x:f>'Results Raw'!$R$7/1000000000</x:f>
        <x:v>-0.4011389102773285</x:v>
      </x:c>
      <x:c r="N10" s="37" t="n">
        <x:f>ABS('Results Raw'!$R$7+'Results Raw'!$W$7+'Results Raw'!$X$7+'Results Raw'!$Y$7)/1000000000</x:f>
        <x:v>8.344650268554687e-16</x:v>
      </x:c>
      <x:c r="O10" s="39" t="n">
        <x:f>IF(MIN(ABS('Results Raw'!$O$7),ABS('Results Raw'!$N$7))=0,"",MAX(ABS('Results Raw'!$O$7)/ABS('Results Raw'!$N$7),ABS('Results Raw'!$N$7)/ABS('Results Raw'!$O$7)))</x:f>
        <x:v>1.0127333380329446</x:v>
      </x:c>
      <x:c r="P10" s="41" t="n">
        <x:f>IF('Results Raw'!$AO$7="","",'Results Raw'!$AO$7/100)</x:f>
        <x:v>1</x:v>
      </x:c>
      <x:c r="Q10" s="29" t="str">
        <x:f>'Results Raw'!$AP$7</x:f>
        <x:v>High</x:v>
      </x:c>
      <x:c r="R10" s="29" t="str">
        <x:f>IF(Q10="Unverified","PROXY / UNVERIFIED",IF(P10="","MISSING COVERAGE",IF(P10&lt;75%,"LIMITED COVERAGE","VERIFIED")))</x:f>
        <x:v>VERIFIED</x:v>
      </x:c>
      <x:c r="S10" s="29" t="str">
        <x:f>IF(N10&gt;0.000001,"TERMINAL FCFF FLOOR",IF(OR('Results Raw'!$BK$7=TRUE,'Results Raw'!$BL$7=TRUE),"EV FLOOR",IF(OR(O10="",O10&gt;=4),"DENOMINATOR-SENSITIVE","NORMAL")))</x:f>
        <x:v>NORMAL</x:v>
      </x:c>
      <x:c r="T10" s="29" t="str">
        <x:f>IF(OR(R10="PROXY / UNVERIFIED",R10="MISSING COVERAGE",S10&lt;&gt;"NORMAL"),"EXCLUDE",IF(R10="LIMITED COVERAGE","CAUTION","RANKABLE"))</x:f>
        <x:v>RANKABLE</x:v>
      </x:c>
      <x:c r="U10" s="43" t="str">
        <x:f>IF(T10="EXCLUDE","Illustrative only - do not assign an ordinary rank",IF(T10="CAUTION","Use with facility-coverage caveat","Decision-useable within the stated scenario only"))</x:f>
        <x:v>Decision-useable within the stated scenario only</x:v>
      </x:c>
    </x:row>
    <x:row r="11">
      <x:c r="A11" s="29" t="str">
        <x:f>'Results Raw'!$A$8</x:f>
        <x:v>CVX</x:v>
      </x:c>
      <x:c r="B11" s="29" t="str">
        <x:f>'Results Raw'!$B$8</x:f>
        <x:v>Energy</x:v>
      </x:c>
      <x:c r="C11" s="29" t="str">
        <x:f>'Results Raw'!$E$8</x:f>
        <x:v>CP vs baseline</x:v>
      </x:c>
      <x:c r="D11" s="29" t="str">
        <x:f>'Results Raw'!$I$8</x:f>
        <x:v>low</x:v>
      </x:c>
      <x:c r="E11" s="31" t="n">
        <x:f>'Results Raw'!$M$8/100</x:f>
        <x:v>-0.006244122467019553</x:v>
      </x:c>
      <x:c r="F11" s="33" t="n">
        <x:f>('Results Raw'!$O$8-'Results Raw'!$N$8)/1000000000</x:f>
        <x:v>-2.3518615267008056</x:v>
      </x:c>
      <x:c r="G11" s="31" t="n">
        <x:f>IF(ABS('Results Raw'!$O$8)+ABS('Results Raw'!$N$8)=0,"",2*('Results Raw'!$O$8-'Results Raw'!$N$8)/(ABS('Results Raw'!$O$8)+ABS('Results Raw'!$N$8)))</x:f>
        <x:v>-0.006263678053449367</x:v>
      </x:c>
      <x:c r="H11" s="31" t="n">
        <x:f>'Results Raw'!$Z$8/100</x:f>
        <x:v>-0.00012385124295967987</x:v>
      </x:c>
      <x:c r="I11" s="31" t="n">
        <x:f>'Results Raw'!$AA$8/100</x:f>
        <x:v>-0.0018599494421620796</x:v>
      </x:c>
      <x:c r="J11" s="31" t="n">
        <x:f>'Results Raw'!$AB$8/100</x:f>
        <x:v>-0.004260321781897747</x:v>
      </x:c>
      <x:c r="K11" s="35" t="n">
        <x:f>ABS(E11-SUM(H11:J11))</x:f>
        <x:v>4.597017211338539e-17</x:v>
      </x:c>
      <x:c r="L11" s="37" t="n">
        <x:f>('Results Raw'!$W$8+'Results Raw'!$X$8+'Results Raw'!$Y$8)/1000000000</x:f>
        <x:v>0.2782745513267664</x:v>
      </x:c>
      <x:c r="M11" s="37" t="n">
        <x:f>'Results Raw'!$R$8/1000000000</x:f>
        <x:v>-0.278274551326767</x:v>
      </x:c>
      <x:c r="N11" s="37" t="n">
        <x:f>ABS('Results Raw'!$R$8+'Results Raw'!$W$8+'Results Raw'!$X$8+'Results Raw'!$Y$8)/1000000000</x:f>
        <x:v>6.258487701416015e-16</x:v>
      </x:c>
      <x:c r="O11" s="39" t="n">
        <x:f>IF(MIN(ABS('Results Raw'!$O$8),ABS('Results Raw'!$N$8))=0,"",MAX(ABS('Results Raw'!$O$8)/ABS('Results Raw'!$N$8),ABS('Results Raw'!$N$8)/ABS('Results Raw'!$O$8)))</x:f>
        <x:v>1.0062833565146005</x:v>
      </x:c>
      <x:c r="P11" s="41" t="n">
        <x:f>IF('Results Raw'!$AO$8="","",'Results Raw'!$AO$8/100)</x:f>
        <x:v>0.6415094339622641</x:v>
      </x:c>
      <x:c r="Q11" s="29" t="str">
        <x:f>'Results Raw'!$AP$8</x:f>
        <x:v>Medium</x:v>
      </x:c>
      <x:c r="R11" s="29" t="str">
        <x:f>IF(Q11="Unverified","PROXY / UNVERIFIED",IF(P11="","MISSING COVERAGE",IF(P11&lt;75%,"LIMITED COVERAGE","VERIFIED")))</x:f>
        <x:v>LIMITED COVERAGE</x:v>
      </x:c>
      <x:c r="S11" s="29" t="str">
        <x:f>IF(N11&gt;0.000001,"TERMINAL FCFF FLOOR",IF(OR('Results Raw'!$BK$8=TRUE,'Results Raw'!$BL$8=TRUE),"EV FLOOR",IF(OR(O11="",O11&gt;=4),"DENOMINATOR-SENSITIVE","NORMAL")))</x:f>
        <x:v>NORMAL</x:v>
      </x:c>
      <x:c r="T11" s="29" t="str">
        <x:f>IF(OR(R11="PROXY / UNVERIFIED",R11="MISSING COVERAGE",S11&lt;&gt;"NORMAL"),"EXCLUDE",IF(R11="LIMITED COVERAGE","CAUTION","RANKABLE"))</x:f>
        <x:v>CAUTION</x:v>
      </x:c>
      <x:c r="U11" s="43" t="str">
        <x:f>IF(T11="EXCLUDE","Illustrative only - do not assign an ordinary rank",IF(T11="CAUTION","Use with facility-coverage caveat","Decision-useable within the stated scenario only"))</x:f>
        <x:v>Use with facility-coverage caveat</x:v>
      </x:c>
    </x:row>
    <x:row r="12">
      <x:c r="A12" s="29" t="str">
        <x:f>'Results Raw'!$A$9</x:f>
        <x:v>CVX</x:v>
      </x:c>
      <x:c r="B12" s="29" t="str">
        <x:f>'Results Raw'!$B$9</x:f>
        <x:v>Energy</x:v>
      </x:c>
      <x:c r="C12" s="29" t="str">
        <x:f>'Results Raw'!$E$9</x:f>
        <x:v>CP vs baseline</x:v>
      </x:c>
      <x:c r="D12" s="29" t="str">
        <x:f>'Results Raw'!$I$9</x:f>
        <x:v>base</x:v>
      </x:c>
      <x:c r="E12" s="31" t="n">
        <x:f>'Results Raw'!$M$9/100</x:f>
        <x:v>-0.013254922218104204</x:v>
      </x:c>
      <x:c r="F12" s="33" t="n">
        <x:f>('Results Raw'!$O$9-'Results Raw'!$N$9)/1000000000</x:f>
        <x:v>-4.992493624016174</x:v>
      </x:c>
      <x:c r="G12" s="31" t="n">
        <x:f>IF(ABS('Results Raw'!$O$9)+ABS('Results Raw'!$N$9)=0,"",2*('Results Raw'!$O$9-'Results Raw'!$N$9)/(ABS('Results Raw'!$O$9)+ABS('Results Raw'!$N$9)))</x:f>
        <x:v>-0.013343354782992796</x:v>
      </x:c>
      <x:c r="H12" s="31" t="n">
        <x:f>'Results Raw'!$Z$9/100</x:f>
        <x:v>-0.0004834688984290073</x:v>
      </x:c>
      <x:c r="I12" s="31" t="n">
        <x:f>'Results Raw'!$AA$9/100</x:f>
        <x:v>-0.005468044550707817</x:v>
      </x:c>
      <x:c r="J12" s="31" t="n">
        <x:f>'Results Raw'!$AB$9/100</x:f>
        <x:v>-0.0073034087689674</x:v>
      </x:c>
      <x:c r="K12" s="35" t="n">
        <x:f>ABS(E12-SUM(H12:J12))</x:f>
        <x:v>2.0816681711721685e-17</x:v>
      </x:c>
      <x:c r="L12" s="37" t="n">
        <x:f>('Results Raw'!$W$9+'Results Raw'!$X$9+'Results Raw'!$Y$9)/1000000000</x:f>
        <x:v>0.5763938295562322</x:v>
      </x:c>
      <x:c r="M12" s="37" t="n">
        <x:f>'Results Raw'!$R$9/1000000000</x:f>
        <x:v>-0.5763938295562324</x:v>
      </x:c>
      <x:c r="N12" s="37" t="n">
        <x:f>ABS('Results Raw'!$R$9+'Results Raw'!$W$9+'Results Raw'!$X$9+'Results Raw'!$Y$9)/1000000000</x:f>
        <x:v>2.9802322387695313e-16</x:v>
      </x:c>
      <x:c r="O12" s="39" t="n">
        <x:f>IF(MIN(ABS('Results Raw'!$O$9),ABS('Results Raw'!$N$9))=0,"",MAX(ABS('Results Raw'!$O$9)/ABS('Results Raw'!$N$9),ABS('Results Raw'!$N$9)/ABS('Results Raw'!$O$9)))</x:f>
        <x:v>1.0134329752603377</x:v>
      </x:c>
      <x:c r="P12" s="41" t="n">
        <x:f>IF('Results Raw'!$AO$9="","",'Results Raw'!$AO$9/100)</x:f>
        <x:v>0.6415094339622641</x:v>
      </x:c>
      <x:c r="Q12" s="29" t="str">
        <x:f>'Results Raw'!$AP$9</x:f>
        <x:v>Medium</x:v>
      </x:c>
      <x:c r="R12" s="29" t="str">
        <x:f>IF(Q12="Unverified","PROXY / UNVERIFIED",IF(P12="","MISSING COVERAGE",IF(P12&lt;75%,"LIMITED COVERAGE","VERIFIED")))</x:f>
        <x:v>LIMITED COVERAGE</x:v>
      </x:c>
      <x:c r="S12" s="29" t="str">
        <x:f>IF(N12&gt;0.000001,"TERMINAL FCFF FLOOR",IF(OR('Results Raw'!$BK$9=TRUE,'Results Raw'!$BL$9=TRUE),"EV FLOOR",IF(OR(O12="",O12&gt;=4),"DENOMINATOR-SENSITIVE","NORMAL")))</x:f>
        <x:v>NORMAL</x:v>
      </x:c>
      <x:c r="T12" s="29" t="str">
        <x:f>IF(OR(R12="PROXY / UNVERIFIED",R12="MISSING COVERAGE",S12&lt;&gt;"NORMAL"),"EXCLUDE",IF(R12="LIMITED COVERAGE","CAUTION","RANKABLE"))</x:f>
        <x:v>CAUTION</x:v>
      </x:c>
      <x:c r="U12" s="43" t="str">
        <x:f>IF(T12="EXCLUDE","Illustrative only - do not assign an ordinary rank",IF(T12="CAUTION","Use with facility-coverage caveat","Decision-useable within the stated scenario only"))</x:f>
        <x:v>Use with facility-coverage caveat</x:v>
      </x:c>
    </x:row>
    <x:row r="13">
      <x:c r="A13" s="29" t="str">
        <x:f>'Results Raw'!$A$10</x:f>
        <x:v>CVX</x:v>
      </x:c>
      <x:c r="B13" s="29" t="str">
        <x:f>'Results Raw'!$B$10</x:f>
        <x:v>Energy</x:v>
      </x:c>
      <x:c r="C13" s="29" t="str">
        <x:f>'Results Raw'!$E$10</x:f>
        <x:v>CP vs baseline</x:v>
      </x:c>
      <x:c r="D13" s="29" t="str">
        <x:f>'Results Raw'!$I$10</x:f>
        <x:v>high</x:v>
      </x:c>
      <x:c r="E13" s="31" t="n">
        <x:f>'Results Raw'!$M$10/100</x:f>
        <x:v>-0.02630297552837446</x:v>
      </x:c>
      <x:c r="F13" s="33" t="n">
        <x:f>('Results Raw'!$O$10-'Results Raw'!$N$10)/1000000000</x:f>
        <x:v>-9.907069649846985</x:v>
      </x:c>
      <x:c r="G13" s="31" t="n">
        <x:f>IF(ABS('Results Raw'!$O$10)+ABS('Results Raw'!$N$10)=0,"",2*('Results Raw'!$O$10-'Results Raw'!$N$10)/(ABS('Results Raw'!$O$10)+ABS('Results Raw'!$N$10)))</x:f>
        <x:v>-0.02665350882353988</x:v>
      </x:c>
      <x:c r="H13" s="31" t="n">
        <x:f>'Results Raw'!$Z$10/100</x:f>
        <x:v>-0.0014260893645691825</x:v>
      </x:c>
      <x:c r="I13" s="31" t="n">
        <x:f>'Results Raw'!$AA$10/100</x:f>
        <x:v>-0.012704538215526074</x:v>
      </x:c>
      <x:c r="J13" s="31" t="n">
        <x:f>'Results Raw'!$AB$10/100</x:f>
        <x:v>-0.012172347948279181</x:v>
      </x:c>
      <x:c r="K13" s="35" t="n">
        <x:f>ABS(E13-SUM(H13:J13))</x:f>
        <x:v>2.42861286636753e-17</x:v>
      </x:c>
      <x:c r="L13" s="37" t="n">
        <x:f>('Results Raw'!$W$10+'Results Raw'!$X$10+'Results Raw'!$Y$10)/1000000000</x:f>
        <x:v>1.1117268263319888</x:v>
      </x:c>
      <x:c r="M13" s="37" t="n">
        <x:f>'Results Raw'!$R$10/1000000000</x:f>
        <x:v>-1.1117268263319893</x:v>
      </x:c>
      <x:c r="N13" s="37" t="n">
        <x:f>ABS('Results Raw'!$R$10+'Results Raw'!$W$10+'Results Raw'!$X$10+'Results Raw'!$Y$10)/1000000000</x:f>
        <x:v>4.76837158203125e-16</x:v>
      </x:c>
      <x:c r="O13" s="39" t="n">
        <x:f>IF(MIN(ABS('Results Raw'!$O$10),ABS('Results Raw'!$N$10))=0,"",MAX(ABS('Results Raw'!$O$10)/ABS('Results Raw'!$N$10),ABS('Results Raw'!$N$10)/ABS('Results Raw'!$O$10)))</x:f>
        <x:v>1.027013511253819</x:v>
      </x:c>
      <x:c r="P13" s="41" t="n">
        <x:f>IF('Results Raw'!$AO$10="","",'Results Raw'!$AO$10/100)</x:f>
        <x:v>0.6415094339622641</x:v>
      </x:c>
      <x:c r="Q13" s="29" t="str">
        <x:f>'Results Raw'!$AP$10</x:f>
        <x:v>Medium</x:v>
      </x:c>
      <x:c r="R13" s="29" t="str">
        <x:f>IF(Q13="Unverified","PROXY / UNVERIFIED",IF(P13="","MISSING COVERAGE",IF(P13&lt;75%,"LIMITED COVERAGE","VERIFIED")))</x:f>
        <x:v>LIMITED COVERAGE</x:v>
      </x:c>
      <x:c r="S13" s="29" t="str">
        <x:f>IF(N13&gt;0.000001,"TERMINAL FCFF FLOOR",IF(OR('Results Raw'!$BK$10=TRUE,'Results Raw'!$BL$10=TRUE),"EV FLOOR",IF(OR(O13="",O13&gt;=4),"DENOMINATOR-SENSITIVE","NORMAL")))</x:f>
        <x:v>NORMAL</x:v>
      </x:c>
      <x:c r="T13" s="29" t="str">
        <x:f>IF(OR(R13="PROXY / UNVERIFIED",R13="MISSING COVERAGE",S13&lt;&gt;"NORMAL"),"EXCLUDE",IF(R13="LIMITED COVERAGE","CAUTION","RANKABLE"))</x:f>
        <x:v>CAUTION</x:v>
      </x:c>
      <x:c r="U13" s="43" t="str">
        <x:f>IF(T13="EXCLUDE","Illustrative only - do not assign an ordinary rank",IF(T13="CAUTION","Use with facility-coverage caveat","Decision-useable within the stated scenario only"))</x:f>
        <x:v>Use with facility-coverage caveat</x:v>
      </x:c>
    </x:row>
    <x:row r="14">
      <x:c r="A14" s="29" t="str">
        <x:f>'Results Raw'!$A$11</x:f>
        <x:v>DE</x:v>
      </x:c>
      <x:c r="B14" s="29" t="str">
        <x:f>'Results Raw'!$B$11</x:f>
        <x:v>Industrials</x:v>
      </x:c>
      <x:c r="C14" s="29" t="str">
        <x:f>'Results Raw'!$E$11</x:f>
        <x:v>CP vs baseline</x:v>
      </x:c>
      <x:c r="D14" s="29" t="str">
        <x:f>'Results Raw'!$I$11</x:f>
        <x:v>low</x:v>
      </x:c>
      <x:c r="E14" s="31" t="n">
        <x:f>'Results Raw'!$M$11/100</x:f>
        <x:v>-0.003257429195263617</x:v>
      </x:c>
      <x:c r="F14" s="33" t="n">
        <x:f>('Results Raw'!$O$11-'Results Raw'!$N$11)/1000000000</x:f>
        <x:v>-0.5082739126004028</x:v>
      </x:c>
      <x:c r="G14" s="31" t="n">
        <x:f>IF(ABS('Results Raw'!$O$11)+ABS('Results Raw'!$N$11)=0,"",2*('Results Raw'!$O$11-'Results Raw'!$N$11)/(ABS('Results Raw'!$O$11)+ABS('Results Raw'!$N$11)))</x:f>
        <x:v>-0.0032627432728604606</x:v>
      </x:c>
      <x:c r="H14" s="31" t="n">
        <x:f>'Results Raw'!$Z$11/100</x:f>
        <x:v>-0.000004329961717639025</x:v>
      </x:c>
      <x:c r="I14" s="31" t="n">
        <x:f>'Results Raw'!$AA$11/100</x:f>
        <x:v>-0.0005568785785652601</x:v>
      </x:c>
      <x:c r="J14" s="31" t="n">
        <x:f>'Results Raw'!$AB$11/100</x:f>
        <x:v>-0.002696220654980728</x:v>
      </x:c>
      <x:c r="K14" s="35" t="n">
        <x:f>ABS(E14-SUM(H14:J14))</x:f>
        <x:v>1.0408340855860843e-17</x:v>
      </x:c>
      <x:c r="L14" s="37" t="n">
        <x:f>('Results Raw'!$W$11+'Results Raw'!$X$11+'Results Raw'!$Y$11)/1000000000</x:f>
        <x:v>0.07996149552698627</x:v>
      </x:c>
      <x:c r="M14" s="37" t="n">
        <x:f>'Results Raw'!$R$11/1000000000</x:f>
        <x:v>-0.07996149552698707</x:v>
      </x:c>
      <x:c r="N14" s="37" t="n">
        <x:f>ABS('Results Raw'!$R$11+'Results Raw'!$W$11+'Results Raw'!$X$11+'Results Raw'!$Y$11)/1000000000</x:f>
        <x:v>8.046627044677734e-16</x:v>
      </x:c>
      <x:c r="O14" s="39" t="n">
        <x:f>IF(MIN(ABS('Results Raw'!$O$11),ABS('Results Raw'!$N$11))=0,"",MAX(ABS('Results Raw'!$O$11)/ABS('Results Raw'!$N$11),ABS('Results Raw'!$N$11)/ABS('Results Raw'!$O$11)))</x:f>
        <x:v>1.00326807471726</x:v>
      </x:c>
      <x:c r="P14" s="41" t="n">
        <x:f>IF('Results Raw'!$AO$11="","",'Results Raw'!$AO$11/100)</x:f>
        <x:v>1</x:v>
      </x:c>
      <x:c r="Q14" s="29" t="str">
        <x:f>'Results Raw'!$AP$11</x:f>
        <x:v>High</x:v>
      </x:c>
      <x:c r="R14" s="29" t="str">
        <x:f>IF(Q14="Unverified","PROXY / UNVERIFIED",IF(P14="","MISSING COVERAGE",IF(P14&lt;75%,"LIMITED COVERAGE","VERIFIED")))</x:f>
        <x:v>VERIFIED</x:v>
      </x:c>
      <x:c r="S14" s="29" t="str">
        <x:f>IF(N14&gt;0.000001,"TERMINAL FCFF FLOOR",IF(OR('Results Raw'!$BK$11=TRUE,'Results Raw'!$BL$11=TRUE),"EV FLOOR",IF(OR(O14="",O14&gt;=4),"DENOMINATOR-SENSITIVE","NORMAL")))</x:f>
        <x:v>NORMAL</x:v>
      </x:c>
      <x:c r="T14" s="29" t="str">
        <x:f>IF(OR(R14="PROXY / UNVERIFIED",R14="MISSING COVERAGE",S14&lt;&gt;"NORMAL"),"EXCLUDE",IF(R14="LIMITED COVERAGE","CAUTION","RANKABLE"))</x:f>
        <x:v>RANKABLE</x:v>
      </x:c>
      <x:c r="U14" s="43" t="str">
        <x:f>IF(T14="EXCLUDE","Illustrative only - do not assign an ordinary rank",IF(T14="CAUTION","Use with facility-coverage caveat","Decision-useable within the stated scenario only"))</x:f>
        <x:v>Decision-useable within the stated scenario only</x:v>
      </x:c>
    </x:row>
    <x:row r="15">
      <x:c r="A15" s="29" t="str">
        <x:f>'Results Raw'!$A$12</x:f>
        <x:v>DE</x:v>
      </x:c>
      <x:c r="B15" s="29" t="str">
        <x:f>'Results Raw'!$B$12</x:f>
        <x:v>Industrials</x:v>
      </x:c>
      <x:c r="C15" s="29" t="str">
        <x:f>'Results Raw'!$E$12</x:f>
        <x:v>CP vs baseline</x:v>
      </x:c>
      <x:c r="D15" s="29" t="str">
        <x:f>'Results Raw'!$I$12</x:f>
        <x:v>base</x:v>
      </x:c>
      <x:c r="E15" s="31" t="n">
        <x:f>'Results Raw'!$M$12/100</x:f>
        <x:v>-0.006489577894968179</x:v>
      </x:c>
      <x:c r="F15" s="33" t="n">
        <x:f>('Results Raw'!$O$12-'Results Raw'!$N$12)/1000000000</x:f>
        <x:v>-1.0126031757180176</x:v>
      </x:c>
      <x:c r="G15" s="31" t="n">
        <x:f>IF(ABS('Results Raw'!$O$12)+ABS('Results Raw'!$N$12)=0,"",2*('Results Raw'!$O$12-'Results Raw'!$N$12)/(ABS('Results Raw'!$O$12)+ABS('Results Raw'!$N$12)))</x:f>
        <x:v>-0.006510703754551237</x:v>
      </x:c>
      <x:c r="H15" s="31" t="n">
        <x:f>'Results Raw'!$Z$12/100</x:f>
        <x:v>-0.00002042932077293213</x:v>
      </x:c>
      <x:c r="I15" s="31" t="n">
        <x:f>'Results Raw'!$AA$12/100</x:f>
        <x:v>-0.0018470560227996083</x:v>
      </x:c>
      <x:c r="J15" s="31" t="n">
        <x:f>'Results Raw'!$AB$12/100</x:f>
        <x:v>-0.004622092551395586</x:v>
      </x:c>
      <x:c r="K15" s="35" t="n">
        <x:f>ABS(E15-SUM(H15:J15))</x:f>
        <x:v>5.2909066017292616e-17</x:v>
      </x:c>
      <x:c r="L15" s="37" t="n">
        <x:f>('Results Raw'!$W$12+'Results Raw'!$X$12+'Results Raw'!$Y$12)/1000000000</x:f>
        <x:v>0.15151373519551997</x:v>
      </x:c>
      <x:c r="M15" s="37" t="n">
        <x:f>'Results Raw'!$R$12/1000000000</x:f>
        <x:v>-0.1515137351955204</x:v>
      </x:c>
      <x:c r="N15" s="37" t="n">
        <x:f>ABS('Results Raw'!$R$12+'Results Raw'!$W$12+'Results Raw'!$X$12+'Results Raw'!$Y$12)/1000000000</x:f>
        <x:v>4.1723251342773436e-16</x:v>
      </x:c>
      <x:c r="O15" s="39" t="n">
        <x:f>IF(MIN(ABS('Results Raw'!$O$12),ABS('Results Raw'!$N$12))=0,"",MAX(ABS('Results Raw'!$O$12)/ABS('Results Raw'!$N$12),ABS('Results Raw'!$N$12)/ABS('Results Raw'!$O$12)))</x:f>
        <x:v>1.0065319676075648</x:v>
      </x:c>
      <x:c r="P15" s="41" t="n">
        <x:f>IF('Results Raw'!$AO$12="","",'Results Raw'!$AO$12/100)</x:f>
        <x:v>1</x:v>
      </x:c>
      <x:c r="Q15" s="29" t="str">
        <x:f>'Results Raw'!$AP$12</x:f>
        <x:v>High</x:v>
      </x:c>
      <x:c r="R15" s="29" t="str">
        <x:f>IF(Q15="Unverified","PROXY / UNVERIFIED",IF(P15="","MISSING COVERAGE",IF(P15&lt;75%,"LIMITED COVERAGE","VERIFIED")))</x:f>
        <x:v>VERIFIED</x:v>
      </x:c>
      <x:c r="S15" s="29" t="str">
        <x:f>IF(N15&gt;0.000001,"TERMINAL FCFF FLOOR",IF(OR('Results Raw'!$BK$12=TRUE,'Results Raw'!$BL$12=TRUE),"EV FLOOR",IF(OR(O15="",O15&gt;=4),"DENOMINATOR-SENSITIVE","NORMAL")))</x:f>
        <x:v>NORMAL</x:v>
      </x:c>
      <x:c r="T15" s="29" t="str">
        <x:f>IF(OR(R15="PROXY / UNVERIFIED",R15="MISSING COVERAGE",S15&lt;&gt;"NORMAL"),"EXCLUDE",IF(R15="LIMITED COVERAGE","CAUTION","RANKABLE"))</x:f>
        <x:v>RANKABLE</x:v>
      </x:c>
      <x:c r="U15" s="43" t="str">
        <x:f>IF(T15="EXCLUDE","Illustrative only - do not assign an ordinary rank",IF(T15="CAUTION","Use with facility-coverage caveat","Decision-useable within the stated scenario only"))</x:f>
        <x:v>Decision-useable within the stated scenario only</x:v>
      </x:c>
    </x:row>
    <x:row r="16">
      <x:c r="A16" s="29" t="str">
        <x:f>'Results Raw'!$A$13</x:f>
        <x:v>DE</x:v>
      </x:c>
      <x:c r="B16" s="29" t="str">
        <x:f>'Results Raw'!$B$13</x:f>
        <x:v>Industrials</x:v>
      </x:c>
      <x:c r="C16" s="29" t="str">
        <x:f>'Results Raw'!$E$13</x:f>
        <x:v>CP vs baseline</x:v>
      </x:c>
      <x:c r="D16" s="29" t="str">
        <x:f>'Results Raw'!$I$13</x:f>
        <x:v>high</x:v>
      </x:c>
      <x:c r="E16" s="31" t="n">
        <x:f>'Results Raw'!$M$13/100</x:f>
        <x:v>-0.013632564139545944</x:v>
      </x:c>
      <x:c r="F16" s="33" t="n">
        <x:f>('Results Raw'!$O$13-'Results Raw'!$N$13)/1000000000</x:f>
        <x:v>-2.1271611134504393</x:v>
      </x:c>
      <x:c r="G16" s="31" t="n">
        <x:f>IF(ABS('Results Raw'!$O$13)+ABS('Results Raw'!$N$13)=0,"",2*('Results Raw'!$O$13-'Results Raw'!$N$13)/(ABS('Results Raw'!$O$13)+ABS('Results Raw'!$N$13)))</x:f>
        <x:v>-0.013726125281187532</x:v>
      </x:c>
      <x:c r="H16" s="31" t="n">
        <x:f>'Results Raw'!$Z$13/100</x:f>
        <x:v>-0.00007879596359742872</x:v>
      </x:c>
      <x:c r="I16" s="31" t="n">
        <x:f>'Results Raw'!$AA$13/100</x:f>
        <x:v>-0.005850280590288862</x:v>
      </x:c>
      <x:c r="J16" s="31" t="n">
        <x:f>'Results Raw'!$AB$13/100</x:f>
        <x:v>-0.007703487585659624</x:v>
      </x:c>
      <x:c r="K16" s="35" t="n">
        <x:f>ABS(E16-SUM(H16:J16))</x:f>
        <x:v>2.7755575615628914e-17</x:v>
      </x:c>
      <x:c r="L16" s="37" t="n">
        <x:f>('Results Raw'!$W$13+'Results Raw'!$X$13+'Results Raw'!$Y$13)/1000000000</x:f>
        <x:v>0.2972773953138202</x:v>
      </x:c>
      <x:c r="M16" s="37" t="n">
        <x:f>'Results Raw'!$R$13/1000000000</x:f>
        <x:v>-0.29727739531381986</x:v>
      </x:c>
      <x:c r="N16" s="37" t="n">
        <x:f>ABS('Results Raw'!$R$13+'Results Raw'!$W$13+'Results Raw'!$X$13+'Results Raw'!$Y$13)/1000000000</x:f>
        <x:v>3.278255462646484e-16</x:v>
      </x:c>
      <x:c r="O16" s="39" t="n">
        <x:f>IF(MIN(ABS('Results Raw'!$O$13),ABS('Results Raw'!$N$13))=0,"",MAX(ABS('Results Raw'!$O$13)/ABS('Results Raw'!$N$13),ABS('Results Raw'!$N$13)/ABS('Results Raw'!$O$13)))</x:f>
        <x:v>1.0138209795294526</x:v>
      </x:c>
      <x:c r="P16" s="41" t="n">
        <x:f>IF('Results Raw'!$AO$13="","",'Results Raw'!$AO$13/100)</x:f>
        <x:v>1</x:v>
      </x:c>
      <x:c r="Q16" s="29" t="str">
        <x:f>'Results Raw'!$AP$13</x:f>
        <x:v>High</x:v>
      </x:c>
      <x:c r="R16" s="29" t="str">
        <x:f>IF(Q16="Unverified","PROXY / UNVERIFIED",IF(P16="","MISSING COVERAGE",IF(P16&lt;75%,"LIMITED COVERAGE","VERIFIED")))</x:f>
        <x:v>VERIFIED</x:v>
      </x:c>
      <x:c r="S16" s="29" t="str">
        <x:f>IF(N16&gt;0.000001,"TERMINAL FCFF FLOOR",IF(OR('Results Raw'!$BK$13=TRUE,'Results Raw'!$BL$13=TRUE),"EV FLOOR",IF(OR(O16="",O16&gt;=4),"DENOMINATOR-SENSITIVE","NORMAL")))</x:f>
        <x:v>NORMAL</x:v>
      </x:c>
      <x:c r="T16" s="29" t="str">
        <x:f>IF(OR(R16="PROXY / UNVERIFIED",R16="MISSING COVERAGE",S16&lt;&gt;"NORMAL"),"EXCLUDE",IF(R16="LIMITED COVERAGE","CAUTION","RANKABLE"))</x:f>
        <x:v>RANKABLE</x:v>
      </x:c>
      <x:c r="U16" s="43" t="str">
        <x:f>IF(T16="EXCLUDE","Illustrative only - do not assign an ordinary rank",IF(T16="CAUTION","Use with facility-coverage caveat","Decision-useable within the stated scenario only"))</x:f>
        <x:v>Decision-useable within the stated scenario only</x:v>
      </x:c>
    </x:row>
    <x:row r="17">
      <x:c r="A17" s="29" t="str">
        <x:f>'Results Raw'!$A$14</x:f>
        <x:v>DUK</x:v>
      </x:c>
      <x:c r="B17" s="29" t="str">
        <x:f>'Results Raw'!$B$14</x:f>
        <x:v>Utilities</x:v>
      </x:c>
      <x:c r="C17" s="29" t="str">
        <x:f>'Results Raw'!$E$14</x:f>
        <x:v>CP vs baseline</x:v>
      </x:c>
      <x:c r="D17" s="29" t="str">
        <x:f>'Results Raw'!$I$14</x:f>
        <x:v>low</x:v>
      </x:c>
      <x:c r="E17" s="31" t="n">
        <x:f>'Results Raw'!$M$14/100</x:f>
        <x:v>-0.01912335646540475</x:v>
      </x:c>
      <x:c r="F17" s="33" t="n">
        <x:f>('Results Raw'!$O$14-'Results Raw'!$N$14)/1000000000</x:f>
        <x:v>-0.958695829317398</x:v>
      </x:c>
      <x:c r="G17" s="31" t="n">
        <x:f>IF(ABS('Results Raw'!$O$14)+ABS('Results Raw'!$N$14)=0,"",2*('Results Raw'!$O$14-'Results Raw'!$N$14)/(ABS('Results Raw'!$O$14)+ABS('Results Raw'!$N$14)))</x:f>
        <x:v>-0.019307973091430727</x:v>
      </x:c>
      <x:c r="H17" s="31" t="n">
        <x:f>'Results Raw'!$Z$14/100</x:f>
        <x:v>-0.002278215375430006</x:v>
      </x:c>
      <x:c r="I17" s="31" t="n">
        <x:f>'Results Raw'!$AA$14/100</x:f>
        <x:v>-0.008668087588575395</x:v>
      </x:c>
      <x:c r="J17" s="31" t="n">
        <x:f>'Results Raw'!$AB$14/100</x:f>
        <x:v>-0.008177053501399389</x:v>
      </x:c>
      <x:c r="K17" s="35" t="n">
        <x:f>ABS(E17-SUM(H17:J17))</x:f>
        <x:v>4.163336342344337e-17</x:v>
      </x:c>
      <x:c r="L17" s="37" t="n">
        <x:f>('Results Raw'!$W$14+'Results Raw'!$X$14+'Results Raw'!$Y$14)/1000000000</x:f>
        <x:v>0.06411666867356541</x:v>
      </x:c>
      <x:c r="M17" s="37" t="n">
        <x:f>'Results Raw'!$R$14/1000000000</x:f>
        <x:v>-0.06411666867356539</x:v>
      </x:c>
      <x:c r="N17" s="37" t="n">
        <x:f>ABS('Results Raw'!$R$14+'Results Raw'!$W$14+'Results Raw'!$X$14+'Results Raw'!$Y$14)/1000000000</x:f>
        <x:v>3.3527612686157225e-17</x:v>
      </x:c>
      <x:c r="O17" s="39" t="n">
        <x:f>IF(MIN(ABS('Results Raw'!$O$14),ABS('Results Raw'!$N$14))=0,"",MAX(ABS('Results Raw'!$O$14)/ABS('Results Raw'!$N$14),ABS('Results Raw'!$N$14)/ABS('Results Raw'!$O$14)))</x:f>
        <x:v>1.0194961890380971</x:v>
      </x:c>
      <x:c r="P17" s="41" t="n">
        <x:f>IF('Results Raw'!$AO$14="","",'Results Raw'!$AO$14/100)</x:f>
        <x:v>0.9795918367346939</x:v>
      </x:c>
      <x:c r="Q17" s="29" t="str">
        <x:f>'Results Raw'!$AP$14</x:f>
        <x:v>High</x:v>
      </x:c>
      <x:c r="R17" s="29" t="str">
        <x:f>IF(Q17="Unverified","PROXY / UNVERIFIED",IF(P17="","MISSING COVERAGE",IF(P17&lt;75%,"LIMITED COVERAGE","VERIFIED")))</x:f>
        <x:v>VERIFIED</x:v>
      </x:c>
      <x:c r="S17" s="29" t="str">
        <x:f>IF(N17&gt;0.000001,"TERMINAL FCFF FLOOR",IF(OR('Results Raw'!$BK$14=TRUE,'Results Raw'!$BL$14=TRUE),"EV FLOOR",IF(OR(O17="",O17&gt;=4),"DENOMINATOR-SENSITIVE","NORMAL")))</x:f>
        <x:v>NORMAL</x:v>
      </x:c>
      <x:c r="T17" s="29" t="str">
        <x:f>IF(OR(R17="PROXY / UNVERIFIED",R17="MISSING COVERAGE",S17&lt;&gt;"NORMAL"),"EXCLUDE",IF(R17="LIMITED COVERAGE","CAUTION","RANKABLE"))</x:f>
        <x:v>RANKABLE</x:v>
      </x:c>
      <x:c r="U17" s="43" t="str">
        <x:f>IF(T17="EXCLUDE","Illustrative only - do not assign an ordinary rank",IF(T17="CAUTION","Use with facility-coverage caveat","Decision-useable within the stated scenario only"))</x:f>
        <x:v>Decision-useable within the stated scenario only</x:v>
      </x:c>
    </x:row>
    <x:row r="18">
      <x:c r="A18" s="29" t="str">
        <x:f>'Results Raw'!$A$15</x:f>
        <x:v>DUK</x:v>
      </x:c>
      <x:c r="B18" s="29" t="str">
        <x:f>'Results Raw'!$B$15</x:f>
        <x:v>Utilities</x:v>
      </x:c>
      <x:c r="C18" s="29" t="str">
        <x:f>'Results Raw'!$E$15</x:f>
        <x:v>CP vs baseline</x:v>
      </x:c>
      <x:c r="D18" s="29" t="str">
        <x:f>'Results Raw'!$I$15</x:f>
        <x:v>base</x:v>
      </x:c>
      <x:c r="E18" s="31" t="n">
        <x:f>'Results Raw'!$M$15/100</x:f>
        <x:v>-0.04735551081659627</x:v>
      </x:c>
      <x:c r="F18" s="33" t="n">
        <x:f>('Results Raw'!$O$15-'Results Raw'!$N$15)/1000000000</x:f>
        <x:v>-2.374035687573784</x:v>
      </x:c>
      <x:c r="G18" s="31" t="n">
        <x:f>IF(ABS('Results Raw'!$O$15)+ABS('Results Raw'!$N$15)=0,"",2*('Results Raw'!$O$15-'Results Raw'!$N$15)/(ABS('Results Raw'!$O$15)+ABS('Results Raw'!$N$15)))</x:f>
        <x:v>-0.04850397609899835</x:v>
      </x:c>
      <x:c r="H18" s="31" t="n">
        <x:f>'Results Raw'!$Z$15/100</x:f>
        <x:v>-0.008954154088493383</x:v>
      </x:c>
      <x:c r="I18" s="31" t="n">
        <x:f>'Results Raw'!$AA$15/100</x:f>
        <x:v>-0.024383550725703876</x:v>
      </x:c>
      <x:c r="J18" s="31" t="n">
        <x:f>'Results Raw'!$AB$15/100</x:f>
        <x:v>-0.014017806002399057</x:v>
      </x:c>
      <x:c r="K18" s="35" t="n">
        <x:f>ABS(E18-SUM(H18:J18))</x:f>
        <x:v>4.85722573273506e-17</x:v>
      </x:c>
      <x:c r="L18" s="37" t="n">
        <x:f>('Results Raw'!$W$15+'Results Raw'!$X$15+'Results Raw'!$Y$15)/1000000000</x:f>
        <x:v>0.15858107436922586</x:v>
      </x:c>
      <x:c r="M18" s="37" t="n">
        <x:f>'Results Raw'!$R$15/1000000000</x:f>
        <x:v>-0.15858107436922597</x:v>
      </x:c>
      <x:c r="N18" s="37" t="n">
        <x:f>ABS('Results Raw'!$R$15+'Results Raw'!$W$15+'Results Raw'!$X$15+'Results Raw'!$Y$15)/1000000000</x:f>
        <x:v>1.4901161193847657e-16</x:v>
      </x:c>
      <x:c r="O18" s="39" t="n">
        <x:f>IF(MIN(ABS('Results Raw'!$O$15),ABS('Results Raw'!$N$15))=0,"",MAX(ABS('Results Raw'!$O$15)/ABS('Results Raw'!$N$15),ABS('Results Raw'!$N$15)/ABS('Results Raw'!$O$15)))</x:f>
        <x:v>1.0497095310520181</x:v>
      </x:c>
      <x:c r="P18" s="41" t="n">
        <x:f>IF('Results Raw'!$AO$15="","",'Results Raw'!$AO$15/100)</x:f>
        <x:v>0.9795918367346939</x:v>
      </x:c>
      <x:c r="Q18" s="29" t="str">
        <x:f>'Results Raw'!$AP$15</x:f>
        <x:v>High</x:v>
      </x:c>
      <x:c r="R18" s="29" t="str">
        <x:f>IF(Q18="Unverified","PROXY / UNVERIFIED",IF(P18="","MISSING COVERAGE",IF(P18&lt;75%,"LIMITED COVERAGE","VERIFIED")))</x:f>
        <x:v>VERIFIED</x:v>
      </x:c>
      <x:c r="S18" s="29" t="str">
        <x:f>IF(N18&gt;0.000001,"TERMINAL FCFF FLOOR",IF(OR('Results Raw'!$BK$15=TRUE,'Results Raw'!$BL$15=TRUE),"EV FLOOR",IF(OR(O18="",O18&gt;=4),"DENOMINATOR-SENSITIVE","NORMAL")))</x:f>
        <x:v>NORMAL</x:v>
      </x:c>
      <x:c r="T18" s="29" t="str">
        <x:f>IF(OR(R18="PROXY / UNVERIFIED",R18="MISSING COVERAGE",S18&lt;&gt;"NORMAL"),"EXCLUDE",IF(R18="LIMITED COVERAGE","CAUTION","RANKABLE"))</x:f>
        <x:v>RANKABLE</x:v>
      </x:c>
      <x:c r="U18" s="43" t="str">
        <x:f>IF(T18="EXCLUDE","Illustrative only - do not assign an ordinary rank",IF(T18="CAUTION","Use with facility-coverage caveat","Decision-useable within the stated scenario only"))</x:f>
        <x:v>Decision-useable within the stated scenario only</x:v>
      </x:c>
    </x:row>
    <x:row r="19">
      <x:c r="A19" s="29" t="str">
        <x:f>'Results Raw'!$A$16</x:f>
        <x:v>DUK</x:v>
      </x:c>
      <x:c r="B19" s="29" t="str">
        <x:f>'Results Raw'!$B$16</x:f>
        <x:v>Utilities</x:v>
      </x:c>
      <x:c r="C19" s="29" t="str">
        <x:f>'Results Raw'!$E$16</x:f>
        <x:v>CP vs baseline</x:v>
      </x:c>
      <x:c r="D19" s="29" t="str">
        <x:f>'Results Raw'!$I$16</x:f>
        <x:v>high</x:v>
      </x:c>
      <x:c r="E19" s="31" t="n">
        <x:f>'Results Raw'!$M$16/100</x:f>
        <x:v>-0.09818840169030363</x:v>
      </x:c>
      <x:c r="F19" s="33" t="n">
        <x:f>('Results Raw'!$O$16-'Results Raw'!$N$16)/1000000000</x:f>
        <x:v>-4.922400069157677</x:v>
      </x:c>
      <x:c r="G19" s="31" t="n">
        <x:f>IF(ABS('Results Raw'!$O$16)+ABS('Results Raw'!$N$16)=0,"",2*('Results Raw'!$O$16-'Results Raw'!$N$16)/(ABS('Results Raw'!$O$16)+ABS('Results Raw'!$N$16)))</x:f>
        <x:v>-0.10325775884169822</x:v>
      </x:c>
      <x:c r="H19" s="31" t="n">
        <x:f>'Results Raw'!$Z$16/100</x:f>
        <x:v>-0.026339017794590854</x:v>
      </x:c>
      <x:c r="I19" s="31" t="n">
        <x:f>'Results Raw'!$AA$16/100</x:f>
        <x:v>-0.04848637389171426</x:v>
      </x:c>
      <x:c r="J19" s="31" t="n">
        <x:f>'Results Raw'!$AB$16/100</x:f>
        <x:v>-0.0233630100039985</x:v>
      </x:c>
      <x:c r="K19" s="35" t="n">
        <x:f>ABS(E19-SUM(H19:J19))</x:f>
        <x:v>1.3877787807814457e-17</x:v>
      </x:c>
      <x:c r="L19" s="37" t="n">
        <x:f>('Results Raw'!$W$16+'Results Raw'!$X$16+'Results Raw'!$Y$16)/1000000000</x:f>
        <x:v>0.33200127774016885</x:v>
      </x:c>
      <x:c r="M19" s="37" t="n">
        <x:f>'Results Raw'!$R$16/1000000000</x:f>
        <x:v>-0.332001277740169</x:v>
      </x:c>
      <x:c r="N19" s="37" t="n">
        <x:f>ABS('Results Raw'!$R$16+'Results Raw'!$W$16+'Results Raw'!$X$16+'Results Raw'!$Y$16)/1000000000</x:f>
        <x:v>1.639127731323242e-16</x:v>
      </x:c>
      <x:c r="O19" s="39" t="n">
        <x:f>IF(MIN(ABS('Results Raw'!$O$16),ABS('Results Raw'!$N$16))=0,"",MAX(ABS('Results Raw'!$O$16)/ABS('Results Raw'!$N$16),ABS('Results Raw'!$N$16)/ABS('Results Raw'!$O$16)))</x:f>
        <x:v>1.1088790628489835</x:v>
      </x:c>
      <x:c r="P19" s="41" t="n">
        <x:f>IF('Results Raw'!$AO$16="","",'Results Raw'!$AO$16/100)</x:f>
        <x:v>0.9795918367346939</x:v>
      </x:c>
      <x:c r="Q19" s="29" t="str">
        <x:f>'Results Raw'!$AP$16</x:f>
        <x:v>High</x:v>
      </x:c>
      <x:c r="R19" s="29" t="str">
        <x:f>IF(Q19="Unverified","PROXY / UNVERIFIED",IF(P19="","MISSING COVERAGE",IF(P19&lt;75%,"LIMITED COVERAGE","VERIFIED")))</x:f>
        <x:v>VERIFIED</x:v>
      </x:c>
      <x:c r="S19" s="29" t="str">
        <x:f>IF(N19&gt;0.000001,"TERMINAL FCFF FLOOR",IF(OR('Results Raw'!$BK$16=TRUE,'Results Raw'!$BL$16=TRUE),"EV FLOOR",IF(OR(O19="",O19&gt;=4),"DENOMINATOR-SENSITIVE","NORMAL")))</x:f>
        <x:v>NORMAL</x:v>
      </x:c>
      <x:c r="T19" s="29" t="str">
        <x:f>IF(OR(R19="PROXY / UNVERIFIED",R19="MISSING COVERAGE",S19&lt;&gt;"NORMAL"),"EXCLUDE",IF(R19="LIMITED COVERAGE","CAUTION","RANKABLE"))</x:f>
        <x:v>RANKABLE</x:v>
      </x:c>
      <x:c r="U19" s="43" t="str">
        <x:f>IF(T19="EXCLUDE","Illustrative only - do not assign an ordinary rank",IF(T19="CAUTION","Use with facility-coverage caveat","Decision-useable within the stated scenario only"))</x:f>
        <x:v>Decision-useable within the stated scenario only</x:v>
      </x:c>
    </x:row>
    <x:row r="20">
      <x:c r="A20" s="29" t="str">
        <x:f>'Results Raw'!$A$17</x:f>
        <x:v>MSFT</x:v>
      </x:c>
      <x:c r="B20" s="29" t="str">
        <x:f>'Results Raw'!$B$17</x:f>
        <x:v>Technology</x:v>
      </x:c>
      <x:c r="C20" s="29" t="str">
        <x:f>'Results Raw'!$E$17</x:f>
        <x:v>CP vs baseline</x:v>
      </x:c>
      <x:c r="D20" s="29" t="str">
        <x:f>'Results Raw'!$I$17</x:f>
        <x:v>low</x:v>
      </x:c>
      <x:c r="E20" s="31" t="n">
        <x:f>'Results Raw'!$M$17/100</x:f>
        <x:v>-0.00398757640423153</x:v>
      </x:c>
      <x:c r="F20" s="33" t="n">
        <x:f>('Results Raw'!$O$17-'Results Raw'!$N$17)/1000000000</x:f>
        <x:v>-4.2136737169421385</x:v>
      </x:c>
      <x:c r="G20" s="31" t="n">
        <x:f>IF(ABS('Results Raw'!$O$17)+ABS('Results Raw'!$N$17)=0,"",2*('Results Raw'!$O$17-'Results Raw'!$N$17)/(ABS('Results Raw'!$O$17)+ABS('Results Raw'!$N$17)))</x:f>
        <x:v>-0.003995542670068204</x:v>
      </x:c>
      <x:c r="H20" s="31" t="n">
        <x:f>'Results Raw'!$Z$17/100</x:f>
        <x:v>-2.0999356783812593e-7</x:v>
      </x:c>
      <x:c r="I20" s="31" t="n">
        <x:f>'Results Raw'!$AA$17/100</x:f>
        <x:v>-0.0005736418120372742</x:v>
      </x:c>
      <x:c r="J20" s="31" t="n">
        <x:f>'Results Raw'!$AB$17/100</x:f>
        <x:v>-0.0034137245986264595</x:v>
      </x:c>
      <x:c r="K20" s="35" t="n">
        <x:f>ABS(E20-SUM(H20:J20))</x:f>
        <x:v>4.163336342344337e-17</x:v>
      </x:c>
      <x:c r="L20" s="37" t="n">
        <x:f>('Results Raw'!$W$17+'Results Raw'!$X$17+'Results Raw'!$Y$17)/1000000000</x:f>
        <x:v>1.0148248899077617</x:v>
      </x:c>
      <x:c r="M20" s="37" t="n">
        <x:f>'Results Raw'!$R$17/1000000000</x:f>
        <x:v>-1.0148248899077605</x:v>
      </x:c>
      <x:c r="N20" s="37" t="n">
        <x:f>ABS('Results Raw'!$R$17+'Results Raw'!$W$17+'Results Raw'!$X$17+'Results Raw'!$Y$17)/1000000000</x:f>
        <x:v>1.0728836059570312e-15</x:v>
      </x:c>
      <x:c r="O20" s="39" t="n">
        <x:f>IF(MIN(ABS('Results Raw'!$O$17),ABS('Results Raw'!$N$17))=0,"",MAX(ABS('Results Raw'!$O$17)/ABS('Results Raw'!$N$17),ABS('Results Raw'!$N$17)/ABS('Results Raw'!$O$17)))</x:f>
        <x:v>1.0040035408291754</x:v>
      </x:c>
      <x:c r="P20" s="41" t="str">
        <x:f>IF('Results Raw'!$AO$17="","",'Results Raw'!$AO$17/100)</x:f>
      </x:c>
      <x:c r="Q20" s="29" t="str">
        <x:f>'Results Raw'!$AP$17</x:f>
        <x:v>Unverified</x:v>
      </x:c>
      <x:c r="R20" s="29" t="str">
        <x:f>IF(Q20="Unverified","PROXY / UNVERIFIED",IF(P20="","MISSING COVERAGE",IF(P20&lt;75%,"LIMITED COVERAGE","VERIFIED")))</x:f>
        <x:v>PROXY / UNVERIFIED</x:v>
      </x:c>
      <x:c r="S20" s="29" t="str">
        <x:f>IF(N20&gt;0.000001,"TERMINAL FCFF FLOOR",IF(OR('Results Raw'!$BK$17=TRUE,'Results Raw'!$BL$17=TRUE),"EV FLOOR",IF(OR(O20="",O20&gt;=4),"DENOMINATOR-SENSITIVE","NORMAL")))</x:f>
        <x:v>NORMAL</x:v>
      </x:c>
      <x:c r="T20" s="29" t="str">
        <x:f>IF(OR(R20="PROXY / UNVERIFIED",R20="MISSING COVERAGE",S20&lt;&gt;"NORMAL"),"EXCLUDE",IF(R20="LIMITED COVERAGE","CAUTION","RANKABLE"))</x:f>
        <x:v>EXCLUDE</x:v>
      </x:c>
      <x:c r="U20" s="43" t="str">
        <x:f>IF(T20="EXCLUDE","Illustrative only - do not assign an ordinary rank",IF(T20="CAUTION","Use with facility-coverage caveat","Decision-useable within the stated scenario only"))</x:f>
        <x:v>Illustrative only - do not assign an ordinary rank</x:v>
      </x:c>
    </x:row>
    <x:row r="21">
      <x:c r="A21" s="29" t="str">
        <x:f>'Results Raw'!$A$18</x:f>
        <x:v>MSFT</x:v>
      </x:c>
      <x:c r="B21" s="29" t="str">
        <x:f>'Results Raw'!$B$18</x:f>
        <x:v>Technology</x:v>
      </x:c>
      <x:c r="C21" s="29" t="str">
        <x:f>'Results Raw'!$E$18</x:f>
        <x:v>CP vs baseline</x:v>
      </x:c>
      <x:c r="D21" s="29" t="str">
        <x:f>'Results Raw'!$I$18</x:f>
        <x:v>base</x:v>
      </x:c>
      <x:c r="E21" s="31" t="n">
        <x:f>'Results Raw'!$M$18/100</x:f>
        <x:v>-0.007744439350163335</x:v>
      </x:c>
      <x:c r="F21" s="33" t="n">
        <x:f>('Results Raw'!$O$18-'Results Raw'!$N$18)/1000000000</x:f>
        <x:v>-8.183552422370239</x:v>
      </x:c>
      <x:c r="G21" s="31" t="n">
        <x:f>IF(ABS('Results Raw'!$O$18)+ABS('Results Raw'!$N$18)=0,"",2*('Results Raw'!$O$18-'Results Raw'!$N$18)/(ABS('Results Raw'!$O$18)+ABS('Results Raw'!$N$18)))</x:f>
        <x:v>-0.007774544092764124</x:v>
      </x:c>
      <x:c r="H21" s="31" t="n">
        <x:f>'Results Raw'!$Z$18/100</x:f>
        <x:v>-0.000001019131860669087</x:v>
      </x:c>
      <x:c r="I21" s="31" t="n">
        <x:f>'Results Raw'!$AA$18/100</x:f>
        <x:v>-0.0018913209063713666</x:v>
      </x:c>
      <x:c r="J21" s="31" t="n">
        <x:f>'Results Raw'!$AB$18/100</x:f>
        <x:v>-0.005852099311931296</x:v>
      </x:c>
      <x:c r="K21" s="35" t="n">
        <x:f>ABS(E21-SUM(H21:J21))</x:f>
        <x:v>2.6020852139652106e-18</x:v>
      </x:c>
      <x:c r="L21" s="37" t="n">
        <x:f>('Results Raw'!$W$18+'Results Raw'!$X$18+'Results Raw'!$Y$18)/1000000000</x:f>
        <x:v>1.8743001113216957</x:v>
      </x:c>
      <x:c r="M21" s="37" t="n">
        <x:f>'Results Raw'!$R$18/1000000000</x:f>
        <x:v>-1.874300111321701</x:v>
      </x:c>
      <x:c r="N21" s="37" t="n">
        <x:f>ABS('Results Raw'!$R$18+'Results Raw'!$W$18+'Results Raw'!$X$18+'Results Raw'!$Y$18)/1000000000</x:f>
        <x:v>5.245208740234375e-15</x:v>
      </x:c>
      <x:c r="O21" s="39" t="n">
        <x:f>IF(MIN(ABS('Results Raw'!$O$18),ABS('Results Raw'!$N$18))=0,"",MAX(ABS('Results Raw'!$O$18)/ABS('Results Raw'!$N$18),ABS('Results Raw'!$N$18)/ABS('Results Raw'!$O$18)))</x:f>
        <x:v>1.0078048837993827</x:v>
      </x:c>
      <x:c r="P21" s="41" t="str">
        <x:f>IF('Results Raw'!$AO$18="","",'Results Raw'!$AO$18/100)</x:f>
      </x:c>
      <x:c r="Q21" s="29" t="str">
        <x:f>'Results Raw'!$AP$18</x:f>
        <x:v>Unverified</x:v>
      </x:c>
      <x:c r="R21" s="29" t="str">
        <x:f>IF(Q21="Unverified","PROXY / UNVERIFIED",IF(P21="","MISSING COVERAGE",IF(P21&lt;75%,"LIMITED COVERAGE","VERIFIED")))</x:f>
        <x:v>PROXY / UNVERIFIED</x:v>
      </x:c>
      <x:c r="S21" s="29" t="str">
        <x:f>IF(N21&gt;0.000001,"TERMINAL FCFF FLOOR",IF(OR('Results Raw'!$BK$18=TRUE,'Results Raw'!$BL$18=TRUE),"EV FLOOR",IF(OR(O21="",O21&gt;=4),"DENOMINATOR-SENSITIVE","NORMAL")))</x:f>
        <x:v>NORMAL</x:v>
      </x:c>
      <x:c r="T21" s="29" t="str">
        <x:f>IF(OR(R21="PROXY / UNVERIFIED",R21="MISSING COVERAGE",S21&lt;&gt;"NORMAL"),"EXCLUDE",IF(R21="LIMITED COVERAGE","CAUTION","RANKABLE"))</x:f>
        <x:v>EXCLUDE</x:v>
      </x:c>
      <x:c r="U21" s="43" t="str">
        <x:f>IF(T21="EXCLUDE","Illustrative only - do not assign an ordinary rank",IF(T21="CAUTION","Use with facility-coverage caveat","Decision-useable within the stated scenario only"))</x:f>
        <x:v>Illustrative only - do not assign an ordinary rank</x:v>
      </x:c>
    </x:row>
    <x:row r="22">
      <x:c r="A22" s="29" t="str">
        <x:f>'Results Raw'!$A$19</x:f>
        <x:v>MSFT</x:v>
      </x:c>
      <x:c r="B22" s="29" t="str">
        <x:f>'Results Raw'!$B$19</x:f>
        <x:v>Technology</x:v>
      </x:c>
      <x:c r="C22" s="29" t="str">
        <x:f>'Results Raw'!$E$19</x:f>
        <x:v>CP vs baseline</x:v>
      </x:c>
      <x:c r="D22" s="29" t="str">
        <x:f>'Results Raw'!$I$19</x:f>
        <x:v>high</x:v>
      </x:c>
      <x:c r="E22" s="31" t="n">
        <x:f>'Results Raw'!$M$19/100</x:f>
        <x:v>-0.015673284165067858</x:v>
      </x:c>
      <x:c r="F22" s="33" t="n">
        <x:f>('Results Raw'!$O$19-'Results Raw'!$N$19)/1000000000</x:f>
        <x:v>-16.561966179363647</x:v>
      </x:c>
      <x:c r="G22" s="31" t="n">
        <x:f>IF(ABS('Results Raw'!$O$19)+ABS('Results Raw'!$N$19)=0,"",2*('Results Raw'!$O$19-'Results Raw'!$N$19)/(ABS('Results Raw'!$O$19)+ABS('Results Raw'!$N$19)))</x:f>
        <x:v>-0.01579708022876979</x:v>
      </x:c>
      <x:c r="H22" s="31" t="n">
        <x:f>'Results Raw'!$Z$19/100</x:f>
        <x:v>-0.000003919370874306703</x:v>
      </x:c>
      <x:c r="I22" s="31" t="n">
        <x:f>'Results Raw'!$AA$19/100</x:f>
        <x:v>-0.0059158659409748095</x:v>
      </x:c>
      <x:c r="J22" s="31" t="n">
        <x:f>'Results Raw'!$AB$19/100</x:f>
        <x:v>-0.009753498853218731</x:v>
      </x:c>
      <x:c r="K22" s="35" t="n">
        <x:f>ABS(E22-SUM(H22:J22))</x:f>
        <x:v>1.0408340855860843e-17</x:v>
      </x:c>
      <x:c r="L22" s="37" t="n">
        <x:f>('Results Raw'!$W$19+'Results Raw'!$X$19+'Results Raw'!$Y$19)/1000000000</x:f>
        <x:v>3.5256003642132265</x:v>
      </x:c>
      <x:c r="M22" s="37" t="n">
        <x:f>'Results Raw'!$R$19/1000000000</x:f>
        <x:v>-3.5256003642132265</x:v>
      </x:c>
      <x:c r="N22" s="37" t="n">
        <x:f>ABS('Results Raw'!$R$19+'Results Raw'!$W$19+'Results Raw'!$X$19+'Results Raw'!$Y$19)/1000000000</x:f>
        <x:v>0</x:v>
      </x:c>
      <x:c r="O22" s="39" t="n">
        <x:f>IF(MIN(ABS('Results Raw'!$O$19),ABS('Results Raw'!$N$19))=0,"",MAX(ABS('Results Raw'!$O$19)/ABS('Results Raw'!$N$19),ABS('Results Raw'!$N$19)/ABS('Results Raw'!$O$19)))</x:f>
        <x:v>1.0159228474783124</x:v>
      </x:c>
      <x:c r="P22" s="41" t="str">
        <x:f>IF('Results Raw'!$AO$19="","",'Results Raw'!$AO$19/100)</x:f>
      </x:c>
      <x:c r="Q22" s="29" t="str">
        <x:f>'Results Raw'!$AP$19</x:f>
        <x:v>Unverified</x:v>
      </x:c>
      <x:c r="R22" s="29" t="str">
        <x:f>IF(Q22="Unverified","PROXY / UNVERIFIED",IF(P22="","MISSING COVERAGE",IF(P22&lt;75%,"LIMITED COVERAGE","VERIFIED")))</x:f>
        <x:v>PROXY / UNVERIFIED</x:v>
      </x:c>
      <x:c r="S22" s="29" t="str">
        <x:f>IF(N22&gt;0.000001,"TERMINAL FCFF FLOOR",IF(OR('Results Raw'!$BK$19=TRUE,'Results Raw'!$BL$19=TRUE),"EV FLOOR",IF(OR(O22="",O22&gt;=4),"DENOMINATOR-SENSITIVE","NORMAL")))</x:f>
        <x:v>NORMAL</x:v>
      </x:c>
      <x:c r="T22" s="29" t="str">
        <x:f>IF(OR(R22="PROXY / UNVERIFIED",R22="MISSING COVERAGE",S22&lt;&gt;"NORMAL"),"EXCLUDE",IF(R22="LIMITED COVERAGE","CAUTION","RANKABLE"))</x:f>
        <x:v>EXCLUDE</x:v>
      </x:c>
      <x:c r="U22" s="43" t="str">
        <x:f>IF(T22="EXCLUDE","Illustrative only - do not assign an ordinary rank",IF(T22="CAUTION","Use with facility-coverage caveat","Decision-useable within the stated scenario only"))</x:f>
        <x:v>Illustrative only - do not assign an ordinary rank</x:v>
      </x:c>
    </x:row>
    <x:row r="23">
      <x:c r="A23" s="29" t="str">
        <x:f>'Results Raw'!$A$20</x:f>
        <x:v>NEE</x:v>
      </x:c>
      <x:c r="B23" s="29" t="str">
        <x:f>'Results Raw'!$B$20</x:f>
        <x:v>Utilities</x:v>
      </x:c>
      <x:c r="C23" s="29" t="str">
        <x:f>'Results Raw'!$E$20</x:f>
        <x:v>CP vs baseline</x:v>
      </x:c>
      <x:c r="D23" s="29" t="str">
        <x:f>'Results Raw'!$I$20</x:f>
        <x:v>low</x:v>
      </x:c>
      <x:c r="E23" s="31" t="n">
        <x:f>'Results Raw'!$M$20/100</x:f>
        <x:v>-0.011078890675151554</x:v>
      </x:c>
      <x:c r="F23" s="33" t="n">
        <x:f>('Results Raw'!$O$20-'Results Raw'!$N$20)/1000000000</x:f>
        <x:v>-2.3020518204709473</x:v>
      </x:c>
      <x:c r="G23" s="31" t="n">
        <x:f>IF(ABS('Results Raw'!$O$20)+ABS('Results Raw'!$N$20)=0,"",2*('Results Raw'!$O$20-'Results Raw'!$N$20)/(ABS('Results Raw'!$O$20)+ABS('Results Raw'!$N$20)))</x:f>
        <x:v>-0.01114060343892916</x:v>
      </x:c>
      <x:c r="H23" s="31" t="n">
        <x:f>'Results Raw'!$Z$20/100</x:f>
        <x:v>-0.0001694812608438643</x:v>
      </x:c>
      <x:c r="I23" s="31" t="n">
        <x:f>'Results Raw'!$AA$20/100</x:f>
        <x:v>-0.0024342921060352064</x:v>
      </x:c>
      <x:c r="J23" s="31" t="n">
        <x:f>'Results Raw'!$AB$20/100</x:f>
        <x:v>-0.008475117308272532</x:v>
      </x:c>
      <x:c r="K23" s="35" t="n">
        <x:f>ABS(E23-SUM(H23:J23))</x:f>
        <x:v>4.85722573273506e-17</x:v>
      </x:c>
      <x:c r="L23" s="37" t="n">
        <x:f>('Results Raw'!$W$20+'Results Raw'!$X$20+'Results Raw'!$Y$20)/1000000000</x:f>
        <x:v>0.28573236922208717</x:v>
      </x:c>
      <x:c r="M23" s="37" t="n">
        <x:f>'Results Raw'!$R$20/1000000000</x:f>
        <x:v>-0.28573236922208783</x:v>
      </x:c>
      <x:c r="N23" s="37" t="n">
        <x:f>ABS('Results Raw'!$R$20+'Results Raw'!$W$20+'Results Raw'!$X$20+'Results Raw'!$Y$20)/1000000000</x:f>
        <x:v>6.854534149169922e-16</x:v>
      </x:c>
      <x:c r="O23" s="39" t="n">
        <x:f>IF(MIN(ABS('Results Raw'!$O$20),ABS('Results Raw'!$N$20))=0,"",MAX(ABS('Results Raw'!$O$20)/ABS('Results Raw'!$N$20),ABS('Results Raw'!$N$20)/ABS('Results Raw'!$O$20)))</x:f>
        <x:v>1.0112030075712666</x:v>
      </x:c>
      <x:c r="P23" s="41" t="n">
        <x:f>IF('Results Raw'!$AO$20="","",'Results Raw'!$AO$20/100)</x:f>
        <x:v>0.8518518518518519</x:v>
      </x:c>
      <x:c r="Q23" s="29" t="str">
        <x:f>'Results Raw'!$AP$20</x:f>
        <x:v>High</x:v>
      </x:c>
      <x:c r="R23" s="29" t="str">
        <x:f>IF(Q23="Unverified","PROXY / UNVERIFIED",IF(P23="","MISSING COVERAGE",IF(P23&lt;75%,"LIMITED COVERAGE","VERIFIED")))</x:f>
        <x:v>VERIFIED</x:v>
      </x:c>
      <x:c r="S23" s="29" t="str">
        <x:f>IF(N23&gt;0.000001,"TERMINAL FCFF FLOOR",IF(OR('Results Raw'!$BK$20=TRUE,'Results Raw'!$BL$20=TRUE),"EV FLOOR",IF(OR(O23="",O23&gt;=4),"DENOMINATOR-SENSITIVE","NORMAL")))</x:f>
        <x:v>NORMAL</x:v>
      </x:c>
      <x:c r="T23" s="29" t="str">
        <x:f>IF(OR(R23="PROXY / UNVERIFIED",R23="MISSING COVERAGE",S23&lt;&gt;"NORMAL"),"EXCLUDE",IF(R23="LIMITED COVERAGE","CAUTION","RANKABLE"))</x:f>
        <x:v>RANKABLE</x:v>
      </x:c>
      <x:c r="U23" s="43" t="str">
        <x:f>IF(T23="EXCLUDE","Illustrative only - do not assign an ordinary rank",IF(T23="CAUTION","Use with facility-coverage caveat","Decision-useable within the stated scenario only"))</x:f>
        <x:v>Decision-useable within the stated scenario only</x:v>
      </x:c>
    </x:row>
    <x:row r="24">
      <x:c r="A24" s="29" t="str">
        <x:f>'Results Raw'!$A$21</x:f>
        <x:v>NEE</x:v>
      </x:c>
      <x:c r="B24" s="29" t="str">
        <x:f>'Results Raw'!$B$21</x:f>
        <x:v>Utilities</x:v>
      </x:c>
      <x:c r="C24" s="29" t="str">
        <x:f>'Results Raw'!$E$21</x:f>
        <x:v>CP vs baseline</x:v>
      </x:c>
      <x:c r="D24" s="29" t="str">
        <x:f>'Results Raw'!$I$21</x:f>
        <x:v>base</x:v>
      </x:c>
      <x:c r="E24" s="31" t="n">
        <x:f>'Results Raw'!$M$21/100</x:f>
        <x:v>-0.022237366704251804</x:v>
      </x:c>
      <x:c r="F24" s="33" t="n">
        <x:f>('Results Raw'!$O$21-'Results Raw'!$N$21)/1000000000</x:f>
        <x:v>-4.620640459862854</x:v>
      </x:c>
      <x:c r="G24" s="31" t="n">
        <x:f>IF(ABS('Results Raw'!$O$21)+ABS('Results Raw'!$N$21)=0,"",2*('Results Raw'!$O$21-'Results Raw'!$N$21)/(ABS('Results Raw'!$O$21)+ABS('Results Raw'!$N$21)))</x:f>
        <x:v>-0.022487396950356328</x:v>
      </x:c>
      <x:c r="H24" s="31" t="n">
        <x:f>'Results Raw'!$Z$21/100</x:f>
        <x:v>-0.0006450294060377629</x:v>
      </x:c>
      <x:c r="I24" s="31" t="n">
        <x:f>'Results Raw'!$AA$21/100</x:f>
        <x:v>-0.007063564769746915</x:v>
      </x:c>
      <x:c r="J24" s="31" t="n">
        <x:f>'Results Raw'!$AB$21/100</x:f>
        <x:v>-0.014528772528467076</x:v>
      </x:c>
      <x:c r="K24" s="35" t="n">
        <x:f>ABS(E24-SUM(H24:J24))</x:f>
        <x:v>4.85722573273506e-17</x:v>
      </x:c>
      <x:c r="L24" s="37" t="n">
        <x:f>('Results Raw'!$W$21+'Results Raw'!$X$21+'Results Raw'!$Y$21)/1000000000</x:f>
        <x:v>0.5630773044680398</x:v>
      </x:c>
      <x:c r="M24" s="37" t="n">
        <x:f>'Results Raw'!$R$21/1000000000</x:f>
        <x:v>-0.5630773044680405</x:v>
      </x:c>
      <x:c r="N24" s="37" t="n">
        <x:f>ABS('Results Raw'!$R$21+'Results Raw'!$W$21+'Results Raw'!$X$21+'Results Raw'!$Y$21)/1000000000</x:f>
        <x:v>5.364418029785156e-16</x:v>
      </x:c>
      <x:c r="O24" s="39" t="n">
        <x:f>IF(MIN(ABS('Results Raw'!$O$21),ABS('Results Raw'!$N$21))=0,"",MAX(ABS('Results Raw'!$O$21)/ABS('Results Raw'!$N$21),ABS('Results Raw'!$N$21)/ABS('Results Raw'!$O$21)))</x:f>
        <x:v>1.0227431136627672</x:v>
      </x:c>
      <x:c r="P24" s="41" t="n">
        <x:f>IF('Results Raw'!$AO$21="","",'Results Raw'!$AO$21/100)</x:f>
        <x:v>0.8518518518518519</x:v>
      </x:c>
      <x:c r="Q24" s="29" t="str">
        <x:f>'Results Raw'!$AP$21</x:f>
        <x:v>High</x:v>
      </x:c>
      <x:c r="R24" s="29" t="str">
        <x:f>IF(Q24="Unverified","PROXY / UNVERIFIED",IF(P24="","MISSING COVERAGE",IF(P24&lt;75%,"LIMITED COVERAGE","VERIFIED")))</x:f>
        <x:v>VERIFIED</x:v>
      </x:c>
      <x:c r="S24" s="29" t="str">
        <x:f>IF(N24&gt;0.000001,"TERMINAL FCFF FLOOR",IF(OR('Results Raw'!$BK$21=TRUE,'Results Raw'!$BL$21=TRUE),"EV FLOOR",IF(OR(O24="",O24&gt;=4),"DENOMINATOR-SENSITIVE","NORMAL")))</x:f>
        <x:v>NORMAL</x:v>
      </x:c>
      <x:c r="T24" s="29" t="str">
        <x:f>IF(OR(R24="PROXY / UNVERIFIED",R24="MISSING COVERAGE",S24&lt;&gt;"NORMAL"),"EXCLUDE",IF(R24="LIMITED COVERAGE","CAUTION","RANKABLE"))</x:f>
        <x:v>RANKABLE</x:v>
      </x:c>
      <x:c r="U24" s="43" t="str">
        <x:f>IF(T24="EXCLUDE","Illustrative only - do not assign an ordinary rank",IF(T24="CAUTION","Use with facility-coverage caveat","Decision-useable within the stated scenario only"))</x:f>
        <x:v>Decision-useable within the stated scenario only</x:v>
      </x:c>
    </x:row>
    <x:row r="25">
      <x:c r="A25" s="29" t="str">
        <x:f>'Results Raw'!$A$22</x:f>
        <x:v>NEE</x:v>
      </x:c>
      <x:c r="B25" s="29" t="str">
        <x:f>'Results Raw'!$B$22</x:f>
        <x:v>Utilities</x:v>
      </x:c>
      <x:c r="C25" s="29" t="str">
        <x:f>'Results Raw'!$E$22</x:f>
        <x:v>CP vs baseline</x:v>
      </x:c>
      <x:c r="D25" s="29" t="str">
        <x:f>'Results Raw'!$I$22</x:f>
        <x:v>high</x:v>
      </x:c>
      <x:c r="E25" s="31" t="n">
        <x:f>'Results Raw'!$M$22/100</x:f>
        <x:v>-0.04177851074255045</x:v>
      </x:c>
      <x:c r="F25" s="33" t="n">
        <x:f>('Results Raw'!$O$22-'Results Raw'!$N$22)/1000000000</x:f>
        <x:v>-8.681040325378722</x:v>
      </x:c>
      <x:c r="G25" s="31" t="n">
        <x:f>IF(ABS('Results Raw'!$O$22)+ABS('Results Raw'!$N$22)=0,"",2*('Results Raw'!$O$22-'Results Raw'!$N$22)/(ABS('Results Raw'!$O$22)+ABS('Results Raw'!$N$22)))</x:f>
        <x:v>-0.04266985218142279</x:v>
      </x:c>
      <x:c r="H25" s="31" t="n">
        <x:f>'Results Raw'!$Z$22/100</x:f>
        <x:v>-0.0018428443385104807</x:v>
      </x:c>
      <x:c r="I25" s="31" t="n">
        <x:f>'Results Raw'!$AA$22/100</x:f>
        <x:v>-0.015721045523261472</x:v>
      </x:c>
      <x:c r="J25" s="31" t="n">
        <x:f>'Results Raw'!$AB$22/100</x:f>
        <x:v>-0.024214620880778526</x:v>
      </x:c>
      <x:c r="K25" s="35" t="n">
        <x:f>ABS(E25-SUM(H25:J25))</x:f>
        <x:v>2.7755575615628914e-17</x:v>
      </x:c>
      <x:c r="L25" s="37" t="n">
        <x:f>('Results Raw'!$W$22+'Results Raw'!$X$22+'Results Raw'!$Y$22)/1000000000</x:f>
        <x:v>1.0375892603276013</x:v>
      </x:c>
      <x:c r="M25" s="37" t="n">
        <x:f>'Results Raw'!$R$22/1000000000</x:f>
        <x:v>-1.0375892603276025</x:v>
      </x:c>
      <x:c r="N25" s="37" t="n">
        <x:f>ABS('Results Raw'!$R$22+'Results Raw'!$W$22+'Results Raw'!$X$22+'Results Raw'!$Y$22)/1000000000</x:f>
        <x:v>8.344650268554687e-16</x:v>
      </x:c>
      <x:c r="O25" s="39" t="n">
        <x:f>IF(MIN(ABS('Results Raw'!$O$22),ABS('Results Raw'!$N$22))=0,"",MAX(ABS('Results Raw'!$O$22)/ABS('Results Raw'!$N$22),ABS('Results Raw'!$N$22)/ABS('Results Raw'!$O$22)))</x:f>
        <x:v>1.043600056157085</x:v>
      </x:c>
      <x:c r="P25" s="41" t="n">
        <x:f>IF('Results Raw'!$AO$22="","",'Results Raw'!$AO$22/100)</x:f>
        <x:v>0.8518518518518519</x:v>
      </x:c>
      <x:c r="Q25" s="29" t="str">
        <x:f>'Results Raw'!$AP$22</x:f>
        <x:v>High</x:v>
      </x:c>
      <x:c r="R25" s="29" t="str">
        <x:f>IF(Q25="Unverified","PROXY / UNVERIFIED",IF(P25="","MISSING COVERAGE",IF(P25&lt;75%,"LIMITED COVERAGE","VERIFIED")))</x:f>
        <x:v>VERIFIED</x:v>
      </x:c>
      <x:c r="S25" s="29" t="str">
        <x:f>IF(N25&gt;0.000001,"TERMINAL FCFF FLOOR",IF(OR('Results Raw'!$BK$22=TRUE,'Results Raw'!$BL$22=TRUE),"EV FLOOR",IF(OR(O25="",O25&gt;=4),"DENOMINATOR-SENSITIVE","NORMAL")))</x:f>
        <x:v>NORMAL</x:v>
      </x:c>
      <x:c r="T25" s="29" t="str">
        <x:f>IF(OR(R25="PROXY / UNVERIFIED",R25="MISSING COVERAGE",S25&lt;&gt;"NORMAL"),"EXCLUDE",IF(R25="LIMITED COVERAGE","CAUTION","RANKABLE"))</x:f>
        <x:v>RANKABLE</x:v>
      </x:c>
      <x:c r="U25" s="43" t="str">
        <x:f>IF(T25="EXCLUDE","Illustrative only - do not assign an ordinary rank",IF(T25="CAUTION","Use with facility-coverage caveat","Decision-useable within the stated scenario only"))</x:f>
        <x:v>Decision-useable within the stated scenario only</x:v>
      </x:c>
    </x:row>
    <x:row r="26">
      <x:c r="A26" s="29" t="str">
        <x:f>'Results Raw'!$A$23</x:f>
        <x:v>XOM</x:v>
      </x:c>
      <x:c r="B26" s="29" t="str">
        <x:f>'Results Raw'!$B$23</x:f>
        <x:v>Energy</x:v>
      </x:c>
      <x:c r="C26" s="29" t="str">
        <x:f>'Results Raw'!$E$23</x:f>
        <x:v>CP vs baseline</x:v>
      </x:c>
      <x:c r="D26" s="29" t="str">
        <x:f>'Results Raw'!$I$23</x:f>
        <x:v>low</x:v>
      </x:c>
      <x:c r="E26" s="31" t="n">
        <x:f>'Results Raw'!$M$23/100</x:f>
        <x:v>-0.006586481433858538</x:v>
      </x:c>
      <x:c r="F26" s="33" t="n">
        <x:f>('Results Raw'!$O$23-'Results Raw'!$N$23)/1000000000</x:f>
        <x:v>-4.456468200029663</x:v>
      </x:c>
      <x:c r="G26" s="31" t="n">
        <x:f>IF(ABS('Results Raw'!$O$23)+ABS('Results Raw'!$N$23)=0,"",2*('Results Raw'!$O$23-'Results Raw'!$N$23)/(ABS('Results Raw'!$O$23)+ABS('Results Raw'!$N$23)))</x:f>
        <x:v>-0.0066082439719743966</x:v>
      </x:c>
      <x:c r="H26" s="31" t="n">
        <x:f>'Results Raw'!$Z$23/100</x:f>
        <x:v>-0.00019622072047940887</x:v>
      </x:c>
      <x:c r="I26" s="31" t="n">
        <x:f>'Results Raw'!$AA$23/100</x:f>
        <x:v>-0.0014223959751726105</x:v>
      </x:c>
      <x:c r="J26" s="31" t="n">
        <x:f>'Results Raw'!$AB$23/100</x:f>
        <x:v>-0.004967864738206469</x:v>
      </x:c>
      <x:c r="K26" s="35" t="n">
        <x:f>ABS(E26-SUM(H26:J26))</x:f>
        <x:v>4.9439619065339e-17</x:v>
      </x:c>
      <x:c r="L26" s="37" t="n">
        <x:f>('Results Raw'!$W$23+'Results Raw'!$X$23+'Results Raw'!$Y$23)/1000000000</x:f>
        <x:v>0.35109712671439897</x:v>
      </x:c>
      <x:c r="M26" s="37" t="n">
        <x:f>'Results Raw'!$R$23/1000000000</x:f>
        <x:v>-0.35109712671440124</x:v>
      </x:c>
      <x:c r="N26" s="37" t="n">
        <x:f>ABS('Results Raw'!$R$23+'Results Raw'!$W$23+'Results Raw'!$X$23+'Results Raw'!$Y$23)/1000000000</x:f>
        <x:v>2.205371856689453e-15</x:v>
      </x:c>
      <x:c r="O26" s="39" t="n">
        <x:f>IF(MIN(ABS('Results Raw'!$O$23),ABS('Results Raw'!$N$23))=0,"",MAX(ABS('Results Raw'!$O$23)/ABS('Results Raw'!$N$23),ABS('Results Raw'!$N$23)/ABS('Results Raw'!$O$23)))</x:f>
        <x:v>1.0066301507989999</x:v>
      </x:c>
      <x:c r="P26" s="41" t="n">
        <x:f>IF('Results Raw'!$AO$23="","",'Results Raw'!$AO$23/100)</x:f>
        <x:v>0.7205882352941176</x:v>
      </x:c>
      <x:c r="Q26" s="29" t="str">
        <x:f>'Results Raw'!$AP$23</x:f>
        <x:v>Medium</x:v>
      </x:c>
      <x:c r="R26" s="29" t="str">
        <x:f>IF(Q26="Unverified","PROXY / UNVERIFIED",IF(P26="","MISSING COVERAGE",IF(P26&lt;75%,"LIMITED COVERAGE","VERIFIED")))</x:f>
        <x:v>LIMITED COVERAGE</x:v>
      </x:c>
      <x:c r="S26" s="29" t="str">
        <x:f>IF(N26&gt;0.000001,"TERMINAL FCFF FLOOR",IF(OR('Results Raw'!$BK$23=TRUE,'Results Raw'!$BL$23=TRUE),"EV FLOOR",IF(OR(O26="",O26&gt;=4),"DENOMINATOR-SENSITIVE","NORMAL")))</x:f>
        <x:v>NORMAL</x:v>
      </x:c>
      <x:c r="T26" s="29" t="str">
        <x:f>IF(OR(R26="PROXY / UNVERIFIED",R26="MISSING COVERAGE",S26&lt;&gt;"NORMAL"),"EXCLUDE",IF(R26="LIMITED COVERAGE","CAUTION","RANKABLE"))</x:f>
        <x:v>CAUTION</x:v>
      </x:c>
      <x:c r="U26" s="43" t="str">
        <x:f>IF(T26="EXCLUDE","Illustrative only - do not assign an ordinary rank",IF(T26="CAUTION","Use with facility-coverage caveat","Decision-useable within the stated scenario only"))</x:f>
        <x:v>Use with facility-coverage caveat</x:v>
      </x:c>
    </x:row>
    <x:row r="27">
      <x:c r="A27" s="29" t="str">
        <x:f>'Results Raw'!$A$24</x:f>
        <x:v>XOM</x:v>
      </x:c>
      <x:c r="B27" s="29" t="str">
        <x:f>'Results Raw'!$B$24</x:f>
        <x:v>Energy</x:v>
      </x:c>
      <x:c r="C27" s="29" t="str">
        <x:f>'Results Raw'!$E$24</x:f>
        <x:v>CP vs baseline</x:v>
      </x:c>
      <x:c r="D27" s="29" t="str">
        <x:f>'Results Raw'!$I$24</x:f>
        <x:v>base</x:v>
      </x:c>
      <x:c r="E27" s="31" t="n">
        <x:f>'Results Raw'!$M$24/100</x:f>
        <x:v>-0.013552362351022418</x:v>
      </x:c>
      <x:c r="F27" s="33" t="n">
        <x:f>('Results Raw'!$O$24-'Results Raw'!$N$24)/1000000000</x:f>
        <x:v>-9.169641250659302</x:v>
      </x:c>
      <x:c r="G27" s="31" t="n">
        <x:f>IF(ABS('Results Raw'!$O$24)+ABS('Results Raw'!$N$24)=0,"",2*('Results Raw'!$O$24-'Results Raw'!$N$24)/(ABS('Results Raw'!$O$24)+ABS('Results Raw'!$N$24)))</x:f>
        <x:v>-0.013644822137936654</x:v>
      </x:c>
      <x:c r="H27" s="31" t="n">
        <x:f>'Results Raw'!$Z$24/100</x:f>
        <x:v>-0.0007806418624761987</x:v>
      </x:c>
      <x:c r="I27" s="31" t="n">
        <x:f>'Results Raw'!$AA$24/100</x:f>
        <x:v>-0.004255380937335195</x:v>
      </x:c>
      <x:c r="J27" s="31" t="n">
        <x:f>'Results Raw'!$AB$24/100</x:f>
        <x:v>-0.008516339551210974</x:v>
      </x:c>
      <x:c r="K27" s="35" t="n">
        <x:f>ABS(E27-SUM(H27:J27))</x:f>
        <x:v>5.0306980803327406e-17</x:v>
      </x:c>
      <x:c r="L27" s="37" t="n">
        <x:f>('Results Raw'!$W$24+'Results Raw'!$X$24+'Results Raw'!$Y$24)/1000000000</x:f>
        <x:v>0.7094617019635082</x:v>
      </x:c>
      <x:c r="M27" s="37" t="n">
        <x:f>'Results Raw'!$R$24/1000000000</x:f>
        <x:v>-0.7094617019635086</x:v>
      </x:c>
      <x:c r="N27" s="37" t="n">
        <x:f>ABS('Results Raw'!$R$24+'Results Raw'!$W$24+'Results Raw'!$X$24+'Results Raw'!$Y$24)/1000000000</x:f>
        <x:v>4.1723251342773436e-16</x:v>
      </x:c>
      <x:c r="O27" s="39" t="n">
        <x:f>IF(MIN(ABS('Results Raw'!$O$24),ABS('Results Raw'!$N$24))=0,"",MAX(ABS('Results Raw'!$O$24)/ABS('Results Raw'!$N$24),ABS('Results Raw'!$N$24)/ABS('Results Raw'!$O$24)))</x:f>
        <x:v>1.0137385521884588</x:v>
      </x:c>
      <x:c r="P27" s="41" t="n">
        <x:f>IF('Results Raw'!$AO$24="","",'Results Raw'!$AO$24/100)</x:f>
        <x:v>0.7205882352941176</x:v>
      </x:c>
      <x:c r="Q27" s="29" t="str">
        <x:f>'Results Raw'!$AP$24</x:f>
        <x:v>Medium</x:v>
      </x:c>
      <x:c r="R27" s="29" t="str">
        <x:f>IF(Q27="Unverified","PROXY / UNVERIFIED",IF(P27="","MISSING COVERAGE",IF(P27&lt;75%,"LIMITED COVERAGE","VERIFIED")))</x:f>
        <x:v>LIMITED COVERAGE</x:v>
      </x:c>
      <x:c r="S27" s="29" t="str">
        <x:f>IF(N27&gt;0.000001,"TERMINAL FCFF FLOOR",IF(OR('Results Raw'!$BK$24=TRUE,'Results Raw'!$BL$24=TRUE),"EV FLOOR",IF(OR(O27="",O27&gt;=4),"DENOMINATOR-SENSITIVE","NORMAL")))</x:f>
        <x:v>NORMAL</x:v>
      </x:c>
      <x:c r="T27" s="29" t="str">
        <x:f>IF(OR(R27="PROXY / UNVERIFIED",R27="MISSING COVERAGE",S27&lt;&gt;"NORMAL"),"EXCLUDE",IF(R27="LIMITED COVERAGE","CAUTION","RANKABLE"))</x:f>
        <x:v>CAUTION</x:v>
      </x:c>
      <x:c r="U27" s="43" t="str">
        <x:f>IF(T27="EXCLUDE","Illustrative only - do not assign an ordinary rank",IF(T27="CAUTION","Use with facility-coverage caveat","Decision-useable within the stated scenario only"))</x:f>
        <x:v>Use with facility-coverage caveat</x:v>
      </x:c>
    </x:row>
    <x:row r="28">
      <x:c r="A28" s="29" t="str">
        <x:f>'Results Raw'!$A$25</x:f>
        <x:v>XOM</x:v>
      </x:c>
      <x:c r="B28" s="29" t="str">
        <x:f>'Results Raw'!$B$25</x:f>
        <x:v>Energy</x:v>
      </x:c>
      <x:c r="C28" s="29" t="str">
        <x:f>'Results Raw'!$E$25</x:f>
        <x:v>CP vs baseline</x:v>
      </x:c>
      <x:c r="D28" s="29" t="str">
        <x:f>'Results Raw'!$I$25</x:f>
        <x:v>high</x:v>
      </x:c>
      <x:c r="E28" s="31" t="n">
        <x:f>'Results Raw'!$M$25/100</x:f>
        <x:v>-0.026965633118586685</x:v>
      </x:c>
      <x:c r="F28" s="33" t="n">
        <x:f>('Results Raw'!$O$25-'Results Raw'!$N$25)/1000000000</x:f>
        <x:v>-18.24517197739209</x:v>
      </x:c>
      <x:c r="G28" s="31" t="n">
        <x:f>IF(ABS('Results Raw'!$O$25)+ABS('Results Raw'!$N$25)=0,"",2*('Results Raw'!$O$25-'Results Raw'!$N$25)/(ABS('Results Raw'!$O$25)+ABS('Results Raw'!$N$25)))</x:f>
        <x:v>-0.027334174782985315</x:v>
      </x:c>
      <x:c r="H28" s="31" t="n">
        <x:f>'Results Raw'!$Z$25/100</x:f>
        <x:v>-0.0023374151854871805</x:v>
      </x:c>
      <x:c r="I28" s="31" t="n">
        <x:f>'Results Raw'!$AA$25/100</x:f>
        <x:v>-0.01043431868108119</x:v>
      </x:c>
      <x:c r="J28" s="31" t="n">
        <x:f>'Results Raw'!$AB$25/100</x:f>
        <x:v>-0.01419389925201829</x:v>
      </x:c>
      <x:c r="K28" s="35" t="n">
        <x:f>ABS(E28-SUM(H28:J28))</x:f>
        <x:v>2.7755575615628914e-17</x:v>
      </x:c>
      <x:c r="L28" s="37" t="n">
        <x:f>('Results Raw'!$W$25+'Results Raw'!$X$25+'Results Raw'!$Y$25)/1000000000</x:f>
        <x:v>1.3830895773545064</x:v>
      </x:c>
      <x:c r="M28" s="37" t="n">
        <x:f>'Results Raw'!$R$25/1000000000</x:f>
        <x:v>-1.3830895773545075</x:v>
      </x:c>
      <x:c r="N28" s="37" t="n">
        <x:f>ABS('Results Raw'!$R$25+'Results Raw'!$W$25+'Results Raw'!$X$25+'Results Raw'!$Y$25)/1000000000</x:f>
        <x:v>1.0728836059570312e-15</x:v>
      </x:c>
      <x:c r="O28" s="39" t="n">
        <x:f>IF(MIN(ABS('Results Raw'!$O$25),ABS('Results Raw'!$N$25))=0,"",MAX(ABS('Results Raw'!$O$25)/ABS('Results Raw'!$N$25),ABS('Results Raw'!$N$25)/ABS('Results Raw'!$O$25)))</x:f>
        <x:v>1.027712929816664</x:v>
      </x:c>
      <x:c r="P28" s="41" t="n">
        <x:f>IF('Results Raw'!$AO$25="","",'Results Raw'!$AO$25/100)</x:f>
        <x:v>0.7205882352941176</x:v>
      </x:c>
      <x:c r="Q28" s="29" t="str">
        <x:f>'Results Raw'!$AP$25</x:f>
        <x:v>Medium</x:v>
      </x:c>
      <x:c r="R28" s="29" t="str">
        <x:f>IF(Q28="Unverified","PROXY / UNVERIFIED",IF(P28="","MISSING COVERAGE",IF(P28&lt;75%,"LIMITED COVERAGE","VERIFIED")))</x:f>
        <x:v>LIMITED COVERAGE</x:v>
      </x:c>
      <x:c r="S28" s="29" t="str">
        <x:f>IF(N28&gt;0.000001,"TERMINAL FCFF FLOOR",IF(OR('Results Raw'!$BK$25=TRUE,'Results Raw'!$BL$25=TRUE),"EV FLOOR",IF(OR(O28="",O28&gt;=4),"DENOMINATOR-SENSITIVE","NORMAL")))</x:f>
        <x:v>NORMAL</x:v>
      </x:c>
      <x:c r="T28" s="29" t="str">
        <x:f>IF(OR(R28="PROXY / UNVERIFIED",R28="MISSING COVERAGE",S28&lt;&gt;"NORMAL"),"EXCLUDE",IF(R28="LIMITED COVERAGE","CAUTION","RANKABLE"))</x:f>
        <x:v>CAUTION</x:v>
      </x:c>
      <x:c r="U28" s="43" t="str">
        <x:f>IF(T28="EXCLUDE","Illustrative only - do not assign an ordinary rank",IF(T28="CAUTION","Use with facility-coverage caveat","Decision-useable within the stated scenario only"))</x:f>
        <x:v>Use with facility-coverage caveat</x:v>
      </x:c>
    </x:row>
    <x:row r="29">
      <x:c r="A29" s="29" t="str">
        <x:f>'Results Raw'!$A$26</x:f>
        <x:v>AAPL</x:v>
      </x:c>
      <x:c r="B29" s="29" t="str">
        <x:f>'Results Raw'!$B$26</x:f>
        <x:v>Technology</x:v>
      </x:c>
      <x:c r="C29" s="29" t="str">
        <x:f>'Results Raw'!$E$26</x:f>
        <x:v>Net Zero vs baseline</x:v>
      </x:c>
      <x:c r="D29" s="29" t="str">
        <x:f>'Results Raw'!$I$26</x:f>
        <x:v>low</x:v>
      </x:c>
      <x:c r="E29" s="31" t="n">
        <x:f>'Results Raw'!$M$26/100</x:f>
        <x:v>-0.003859086664993905</x:v>
      </x:c>
      <x:c r="F29" s="33" t="n">
        <x:f>('Results Raw'!$O$26-'Results Raw'!$N$26)/1000000000</x:f>
        <x:v>-5.83429151820752</x:v>
      </x:c>
      <x:c r="G29" s="31" t="n">
        <x:f>IF(ABS('Results Raw'!$O$26)+ABS('Results Raw'!$N$26)=0,"",2*('Results Raw'!$O$26-'Results Raw'!$N$26)/(ABS('Results Raw'!$O$26)+ABS('Results Raw'!$N$26)))</x:f>
        <x:v>-0.0038665473356251237</x:v>
      </x:c>
      <x:c r="H29" s="31" t="n">
        <x:f>'Results Raw'!$Z$26/100</x:f>
        <x:v>-0.00006833811051098115</x:v>
      </x:c>
      <x:c r="I29" s="31" t="n">
        <x:f>'Results Raw'!$AA$26/100</x:f>
        <x:v>-0.0005218566849905739</x:v>
      </x:c>
      <x:c r="J29" s="31" t="n">
        <x:f>'Results Raw'!$AB$26/100</x:f>
        <x:v>-0.0032688918694923296</x:v>
      </x:c>
      <x:c r="K29" s="35" t="n">
        <x:f>ABS(E29-SUM(H29:J29))</x:f>
        <x:v>1.9949319973733282e-17</x:v>
      </x:c>
      <x:c r="L29" s="37" t="n">
        <x:f>('Results Raw'!$W$26+'Results Raw'!$X$26+'Results Raw'!$Y$26)/1000000000</x:f>
        <x:v>1.3411428962535261</x:v>
      </x:c>
      <x:c r="M29" s="37" t="n">
        <x:f>'Results Raw'!$R$26/1000000000</x:f>
        <x:v>-1.34114289625354</x:v>
      </x:c>
      <x:c r="N29" s="37" t="n">
        <x:f>ABS('Results Raw'!$R$26+'Results Raw'!$W$26+'Results Raw'!$X$26+'Results Raw'!$Y$26)/1000000000</x:f>
        <x:v>1.3828277587890626e-14</x:v>
      </x:c>
      <x:c r="O29" s="39" t="n">
        <x:f>IF(MIN(ABS('Results Raw'!$O$26),ABS('Results Raw'!$N$26))=0,"",MAX(ABS('Results Raw'!$O$26)/ABS('Results Raw'!$N$26),ABS('Results Raw'!$N$26)/ABS('Results Raw'!$O$26)))</x:f>
        <x:v>1.0038740369091697</x:v>
      </x:c>
      <x:c r="P29" s="41" t="str">
        <x:f>IF('Results Raw'!$AO$26="","",'Results Raw'!$AO$26/100)</x:f>
      </x:c>
      <x:c r="Q29" s="29" t="str">
        <x:f>'Results Raw'!$AP$26</x:f>
        <x:v>Unverified</x:v>
      </x:c>
      <x:c r="R29" s="29" t="str">
        <x:f>IF(Q29="Unverified","PROXY / UNVERIFIED",IF(P29="","MISSING COVERAGE",IF(P29&lt;75%,"LIMITED COVERAGE","VERIFIED")))</x:f>
        <x:v>PROXY / UNVERIFIED</x:v>
      </x:c>
      <x:c r="S29" s="29" t="str">
        <x:f>IF(N29&gt;0.000001,"TERMINAL FCFF FLOOR",IF(OR('Results Raw'!$BK$26=TRUE,'Results Raw'!$BL$26=TRUE),"EV FLOOR",IF(OR(O29="",O29&gt;=4),"DENOMINATOR-SENSITIVE","NORMAL")))</x:f>
        <x:v>NORMAL</x:v>
      </x:c>
      <x:c r="T29" s="29" t="str">
        <x:f>IF(OR(R29="PROXY / UNVERIFIED",R29="MISSING COVERAGE",S29&lt;&gt;"NORMAL"),"EXCLUDE",IF(R29="LIMITED COVERAGE","CAUTION","RANKABLE"))</x:f>
        <x:v>EXCLUDE</x:v>
      </x:c>
      <x:c r="U29" s="43" t="str">
        <x:f>IF(T29="EXCLUDE","Illustrative only - do not assign an ordinary rank",IF(T29="CAUTION","Use with facility-coverage caveat","Decision-useable within the stated scenario only"))</x:f>
        <x:v>Illustrative only - do not assign an ordinary rank</x:v>
      </x:c>
    </x:row>
    <x:row r="30">
      <x:c r="A30" s="29" t="str">
        <x:f>'Results Raw'!$A$27</x:f>
        <x:v>AAPL</x:v>
      </x:c>
      <x:c r="B30" s="29" t="str">
        <x:f>'Results Raw'!$B$27</x:f>
        <x:v>Technology</x:v>
      </x:c>
      <x:c r="C30" s="29" t="str">
        <x:f>'Results Raw'!$E$27</x:f>
        <x:v>Net Zero vs baseline</x:v>
      </x:c>
      <x:c r="D30" s="29" t="str">
        <x:f>'Results Raw'!$I$27</x:f>
        <x:v>base</x:v>
      </x:c>
      <x:c r="E30" s="31" t="n">
        <x:f>'Results Raw'!$M$27/100</x:f>
        <x:v>-0.007632775915896506</x:v>
      </x:c>
      <x:c r="F30" s="33" t="n">
        <x:f>('Results Raw'!$O$27-'Results Raw'!$N$27)/1000000000</x:f>
        <x:v>-11.53947647520996</x:v>
      </x:c>
      <x:c r="G30" s="31" t="n">
        <x:f>IF(ABS('Results Raw'!$O$27)+ABS('Results Raw'!$N$27)=0,"",2*('Results Raw'!$O$27-'Results Raw'!$N$27)/(ABS('Results Raw'!$O$27)+ABS('Results Raw'!$N$27)))</x:f>
        <x:v>-0.007662017145865542</x:v>
      </x:c>
      <x:c r="H30" s="31" t="n">
        <x:f>'Results Raw'!$Z$27/100</x:f>
        <x:v>-0.0002911701107759182</x:v>
      </x:c>
      <x:c r="I30" s="31" t="n">
        <x:f>'Results Raw'!$AA$27/100</x:f>
        <x:v>-0.001737791171704774</x:v>
      </x:c>
      <x:c r="J30" s="31" t="n">
        <x:f>'Results Raw'!$AB$27/100</x:f>
        <x:v>-0.005603814633415774</x:v>
      </x:c>
      <x:c r="K30" s="35" t="n">
        <x:f>ABS(E30-SUM(H30:J30))</x:f>
        <x:v>3.9898639947466563e-17</x:v>
      </x:c>
      <x:c r="L30" s="37" t="n">
        <x:f>('Results Raw'!$W$27+'Results Raw'!$X$27+'Results Raw'!$Y$27)/1000000000</x:f>
        <x:v>2.5059151802983095</x:v>
      </x:c>
      <x:c r="M30" s="37" t="n">
        <x:f>'Results Raw'!$R$27/1000000000</x:f>
        <x:v>-2.5059151802983095</x:v>
      </x:c>
      <x:c r="N30" s="37" t="n">
        <x:f>ABS('Results Raw'!$R$27+'Results Raw'!$W$27+'Results Raw'!$X$27+'Results Raw'!$Y$27)/1000000000</x:f>
        <x:v>2.384185791015625e-16</x:v>
      </x:c>
      <x:c r="O30" s="39" t="n">
        <x:f>IF(MIN(ABS('Results Raw'!$O$27),ABS('Results Raw'!$N$27))=0,"",MAX(ABS('Results Raw'!$O$27)/ABS('Results Raw'!$N$27),ABS('Results Raw'!$N$27)/ABS('Results Raw'!$O$27)))</x:f>
        <x:v>1.007691483284266</x:v>
      </x:c>
      <x:c r="P30" s="41" t="str">
        <x:f>IF('Results Raw'!$AO$27="","",'Results Raw'!$AO$27/100)</x:f>
      </x:c>
      <x:c r="Q30" s="29" t="str">
        <x:f>'Results Raw'!$AP$27</x:f>
        <x:v>Unverified</x:v>
      </x:c>
      <x:c r="R30" s="29" t="str">
        <x:f>IF(Q30="Unverified","PROXY / UNVERIFIED",IF(P30="","MISSING COVERAGE",IF(P30&lt;75%,"LIMITED COVERAGE","VERIFIED")))</x:f>
        <x:v>PROXY / UNVERIFIED</x:v>
      </x:c>
      <x:c r="S30" s="29" t="str">
        <x:f>IF(N30&gt;0.000001,"TERMINAL FCFF FLOOR",IF(OR('Results Raw'!$BK$27=TRUE,'Results Raw'!$BL$27=TRUE),"EV FLOOR",IF(OR(O30="",O30&gt;=4),"DENOMINATOR-SENSITIVE","NORMAL")))</x:f>
        <x:v>NORMAL</x:v>
      </x:c>
      <x:c r="T30" s="29" t="str">
        <x:f>IF(OR(R30="PROXY / UNVERIFIED",R30="MISSING COVERAGE",S30&lt;&gt;"NORMAL"),"EXCLUDE",IF(R30="LIMITED COVERAGE","CAUTION","RANKABLE"))</x:f>
        <x:v>EXCLUDE</x:v>
      </x:c>
      <x:c r="U30" s="43" t="str">
        <x:f>IF(T30="EXCLUDE","Illustrative only - do not assign an ordinary rank",IF(T30="CAUTION","Use with facility-coverage caveat","Decision-useable within the stated scenario only"))</x:f>
        <x:v>Illustrative only - do not assign an ordinary rank</x:v>
      </x:c>
    </x:row>
    <x:row r="31">
      <x:c r="A31" s="29" t="str">
        <x:f>'Results Raw'!$A$28</x:f>
        <x:v>AAPL</x:v>
      </x:c>
      <x:c r="B31" s="29" t="str">
        <x:f>'Results Raw'!$B$28</x:f>
        <x:v>Technology</x:v>
      </x:c>
      <x:c r="C31" s="29" t="str">
        <x:f>'Results Raw'!$E$28</x:f>
        <x:v>Net Zero vs baseline</x:v>
      </x:c>
      <x:c r="D31" s="29" t="str">
        <x:f>'Results Raw'!$I$28</x:f>
        <x:v>high</x:v>
      </x:c>
      <x:c r="E31" s="31" t="n">
        <x:f>'Results Raw'!$M$28/100</x:f>
        <x:v>-0.015952819402176743</x:v>
      </x:c>
      <x:c r="F31" s="33" t="n">
        <x:f>('Results Raw'!$O$28-'Results Raw'!$N$28)/1000000000</x:f>
        <x:v>-24.1179861996604</x:v>
      </x:c>
      <x:c r="G31" s="31" t="n">
        <x:f>IF(ABS('Results Raw'!$O$28)+ABS('Results Raw'!$N$28)=0,"",2*('Results Raw'!$O$28-'Results Raw'!$N$28)/(ABS('Results Raw'!$O$28)+ABS('Results Raw'!$N$28)))</x:f>
        <x:v>-0.016081088754522355</x:v>
      </x:c>
      <x:c r="H31" s="31" t="n">
        <x:f>'Results Raw'!$Z$28/100</x:f>
        <x:v>-0.0010635353779865104</x:v>
      </x:c>
      <x:c r="I31" s="31" t="n">
        <x:f>'Results Raw'!$AA$28/100</x:f>
        <x:v>-0.00554959296849707</x:v>
      </x:c>
      <x:c r="J31" s="31" t="n">
        <x:f>'Results Raw'!$AB$28/100</x:f>
        <x:v>-0.009339691055693138</x:v>
      </x:c>
      <x:c r="K31" s="35" t="n">
        <x:f>ABS(E31-SUM(H31:J31))</x:f>
        <x:v>2.42861286636753e-17</x:v>
      </x:c>
      <x:c r="L31" s="37" t="n">
        <x:f>('Results Raw'!$W$28+'Results Raw'!$X$28+'Results Raw'!$Y$28)/1000000000</x:f>
        <x:v>4.869844940166393</x:v>
      </x:c>
      <x:c r="M31" s="37" t="n">
        <x:f>'Results Raw'!$R$28/1000000000</x:f>
        <x:v>-4.869844940166382</x:v>
      </x:c>
      <x:c r="N31" s="37" t="n">
        <x:f>ABS('Results Raw'!$R$28+'Results Raw'!$W$28+'Results Raw'!$X$28+'Results Raw'!$Y$28)/1000000000</x:f>
        <x:v>1.0967254638671875e-14</x:v>
      </x:c>
      <x:c r="O31" s="39" t="n">
        <x:f>IF(MIN(ABS('Results Raw'!$O$28),ABS('Results Raw'!$N$28))=0,"",MAX(ABS('Results Raw'!$O$28)/ABS('Results Raw'!$N$28),ABS('Results Raw'!$N$28)/ABS('Results Raw'!$O$28)))</x:f>
        <x:v>1.0162114375374616</x:v>
      </x:c>
      <x:c r="P31" s="41" t="str">
        <x:f>IF('Results Raw'!$AO$28="","",'Results Raw'!$AO$28/100)</x:f>
      </x:c>
      <x:c r="Q31" s="29" t="str">
        <x:f>'Results Raw'!$AP$28</x:f>
        <x:v>Unverified</x:v>
      </x:c>
      <x:c r="R31" s="29" t="str">
        <x:f>IF(Q31="Unverified","PROXY / UNVERIFIED",IF(P31="","MISSING COVERAGE",IF(P31&lt;75%,"LIMITED COVERAGE","VERIFIED")))</x:f>
        <x:v>PROXY / UNVERIFIED</x:v>
      </x:c>
      <x:c r="S31" s="29" t="str">
        <x:f>IF(N31&gt;0.000001,"TERMINAL FCFF FLOOR",IF(OR('Results Raw'!$BK$28=TRUE,'Results Raw'!$BL$28=TRUE),"EV FLOOR",IF(OR(O31="",O31&gt;=4),"DENOMINATOR-SENSITIVE","NORMAL")))</x:f>
        <x:v>NORMAL</x:v>
      </x:c>
      <x:c r="T31" s="29" t="str">
        <x:f>IF(OR(R31="PROXY / UNVERIFIED",R31="MISSING COVERAGE",S31&lt;&gt;"NORMAL"),"EXCLUDE",IF(R31="LIMITED COVERAGE","CAUTION","RANKABLE"))</x:f>
        <x:v>EXCLUDE</x:v>
      </x:c>
      <x:c r="U31" s="43" t="str">
        <x:f>IF(T31="EXCLUDE","Illustrative only - do not assign an ordinary rank",IF(T31="CAUTION","Use with facility-coverage caveat","Decision-useable within the stated scenario only"))</x:f>
        <x:v>Illustrative only - do not assign an ordinary rank</x:v>
      </x:c>
    </x:row>
    <x:row r="32">
      <x:c r="A32" s="29" t="str">
        <x:f>'Results Raw'!$A$29</x:f>
        <x:v>CAT</x:v>
      </x:c>
      <x:c r="B32" s="29" t="str">
        <x:f>'Results Raw'!$B$29</x:f>
        <x:v>Industrials</x:v>
      </x:c>
      <x:c r="C32" s="29" t="str">
        <x:f>'Results Raw'!$E$29</x:f>
        <x:v>Net Zero vs baseline</x:v>
      </x:c>
      <x:c r="D32" s="29" t="str">
        <x:f>'Results Raw'!$I$29</x:f>
        <x:v>low</x:v>
      </x:c>
      <x:c r="E32" s="31" t="n">
        <x:f>'Results Raw'!$M$29/100</x:f>
        <x:v>-0.015881178280016117</x:v>
      </x:c>
      <x:c r="F32" s="33" t="n">
        <x:f>('Results Raw'!$O$29-'Results Raw'!$N$29)/1000000000</x:f>
        <x:v>-1.9318090472115022</x:v>
      </x:c>
      <x:c r="G32" s="31" t="n">
        <x:f>IF(ABS('Results Raw'!$O$29)+ABS('Results Raw'!$N$29)=0,"",2*('Results Raw'!$O$29-'Results Raw'!$N$29)/(ABS('Results Raw'!$O$29)+ABS('Results Raw'!$N$29)))</x:f>
        <x:v>-0.016008293562024812</x:v>
      </x:c>
      <x:c r="H32" s="31" t="n">
        <x:f>'Results Raw'!$Z$29/100</x:f>
        <x:v>-0.011957269511187528</x:v>
      </x:c>
      <x:c r="I32" s="31" t="n">
        <x:f>'Results Raw'!$AA$29/100</x:f>
        <x:v>-0.0005327087936879517</x:v>
      </x:c>
      <x:c r="J32" s="31" t="n">
        <x:f>'Results Raw'!$AB$29/100</x:f>
        <x:v>-0.0033911999751406597</x:v>
      </x:c>
      <x:c r="K32" s="35" t="n">
        <x:f>ABS(E32-SUM(H32:J32))</x:f>
        <x:v>2.0816681711721685e-17</x:v>
      </x:c>
      <x:c r="L32" s="37" t="n">
        <x:f>('Results Raw'!$W$29+'Results Raw'!$X$29+'Results Raw'!$Y$29)/1000000000</x:f>
        <x:v>0.366434077965335</x:v>
      </x:c>
      <x:c r="M32" s="37" t="n">
        <x:f>'Results Raw'!$R$29/1000000000</x:f>
        <x:v>-0.36643407796533584</x:v>
      </x:c>
      <x:c r="N32" s="37" t="n">
        <x:f>ABS('Results Raw'!$R$29+'Results Raw'!$W$29+'Results Raw'!$X$29+'Results Raw'!$Y$29)/1000000000</x:f>
        <x:v>8.046627044677734e-16</x:v>
      </x:c>
      <x:c r="O32" s="39" t="n">
        <x:f>IF(MIN(ABS('Results Raw'!$O$29),ABS('Results Raw'!$N$29))=0,"",MAX(ABS('Results Raw'!$O$29)/ABS('Results Raw'!$N$29),ABS('Results Raw'!$N$29)/ABS('Results Raw'!$O$29)))</x:f>
        <x:v>1.016137460161833</x:v>
      </x:c>
      <x:c r="P32" s="41" t="n">
        <x:f>IF('Results Raw'!$AO$29="","",'Results Raw'!$AO$29/100)</x:f>
        <x:v>1</x:v>
      </x:c>
      <x:c r="Q32" s="29" t="str">
        <x:f>'Results Raw'!$AP$29</x:f>
        <x:v>High</x:v>
      </x:c>
      <x:c r="R32" s="29" t="str">
        <x:f>IF(Q32="Unverified","PROXY / UNVERIFIED",IF(P32="","MISSING COVERAGE",IF(P32&lt;75%,"LIMITED COVERAGE","VERIFIED")))</x:f>
        <x:v>VERIFIED</x:v>
      </x:c>
      <x:c r="S32" s="29" t="str">
        <x:f>IF(N32&gt;0.000001,"TERMINAL FCFF FLOOR",IF(OR('Results Raw'!$BK$29=TRUE,'Results Raw'!$BL$29=TRUE),"EV FLOOR",IF(OR(O32="",O32&gt;=4),"DENOMINATOR-SENSITIVE","NORMAL")))</x:f>
        <x:v>NORMAL</x:v>
      </x:c>
      <x:c r="T32" s="29" t="str">
        <x:f>IF(OR(R32="PROXY / UNVERIFIED",R32="MISSING COVERAGE",S32&lt;&gt;"NORMAL"),"EXCLUDE",IF(R32="LIMITED COVERAGE","CAUTION","RANKABLE"))</x:f>
        <x:v>RANKABLE</x:v>
      </x:c>
      <x:c r="U32" s="43" t="str">
        <x:f>IF(T32="EXCLUDE","Illustrative only - do not assign an ordinary rank",IF(T32="CAUTION","Use with facility-coverage caveat","Decision-useable within the stated scenario only"))</x:f>
        <x:v>Decision-useable within the stated scenario only</x:v>
      </x:c>
    </x:row>
    <x:row r="33">
      <x:c r="A33" s="29" t="str">
        <x:f>'Results Raw'!$A$30</x:f>
        <x:v>CAT</x:v>
      </x:c>
      <x:c r="B33" s="29" t="str">
        <x:f>'Results Raw'!$B$30</x:f>
        <x:v>Industrials</x:v>
      </x:c>
      <x:c r="C33" s="29" t="str">
        <x:f>'Results Raw'!$E$30</x:f>
        <x:v>Net Zero vs baseline</x:v>
      </x:c>
      <x:c r="D33" s="29" t="str">
        <x:f>'Results Raw'!$I$30</x:f>
        <x:v>base</x:v>
      </x:c>
      <x:c r="E33" s="31" t="n">
        <x:f>'Results Raw'!$M$30/100</x:f>
        <x:v>-0.058186607370920636</x:v>
      </x:c>
      <x:c r="F33" s="33" t="n">
        <x:f>('Results Raw'!$O$30-'Results Raw'!$N$30)/1000000000</x:f>
        <x:v>-7.077901435508209</x:v>
      </x:c>
      <x:c r="G33" s="31" t="n">
        <x:f>IF(ABS('Results Raw'!$O$30)+ABS('Results Raw'!$N$30)=0,"",2*('Results Raw'!$O$30-'Results Raw'!$N$30)/(ABS('Results Raw'!$O$30)+ABS('Results Raw'!$N$30)))</x:f>
        <x:v>-0.05993017412671161</x:v>
      </x:c>
      <x:c r="H33" s="31" t="n">
        <x:f>'Results Raw'!$Z$30/100</x:f>
        <x:v>-0.05060560687980236</x:v>
      </x:c>
      <x:c r="I33" s="31" t="n">
        <x:f>'Results Raw'!$AA$30/100</x:f>
        <x:v>-0.0017675148194484804</x:v>
      </x:c>
      <x:c r="J33" s="31" t="n">
        <x:f>'Results Raw'!$AB$30/100</x:f>
        <x:v>-0.005813485671669825</x:v>
      </x:c>
      <x:c r="K33" s="35" t="n">
        <x:f>ABS(E33-SUM(H33:J33))</x:f>
        <x:v>2.7755575615628914e-17</x:v>
      </x:c>
      <x:c r="L33" s="37" t="n">
        <x:f>('Results Raw'!$W$30+'Results Raw'!$X$30+'Results Raw'!$Y$30)/1000000000</x:f>
        <x:v>1.4618757117291932</x:v>
      </x:c>
      <x:c r="M33" s="37" t="n">
        <x:f>'Results Raw'!$R$30/1000000000</x:f>
        <x:v>-1.4618757117291927</x:v>
      </x:c>
      <x:c r="N33" s="37" t="n">
        <x:f>ABS('Results Raw'!$R$30+'Results Raw'!$W$30+'Results Raw'!$X$30+'Results Raw'!$Y$30)/1000000000</x:f>
        <x:v>5.066394805908203e-16</x:v>
      </x:c>
      <x:c r="O33" s="39" t="n">
        <x:f>IF(MIN(ABS('Results Raw'!$O$30),ABS('Results Raw'!$N$30))=0,"",MAX(ABS('Results Raw'!$O$30)/ABS('Results Raw'!$N$30),ABS('Results Raw'!$N$30)/ABS('Results Raw'!$O$30)))</x:f>
        <x:v>1.0617814609839984</x:v>
      </x:c>
      <x:c r="P33" s="41" t="n">
        <x:f>IF('Results Raw'!$AO$30="","",'Results Raw'!$AO$30/100)</x:f>
        <x:v>1</x:v>
      </x:c>
      <x:c r="Q33" s="29" t="str">
        <x:f>'Results Raw'!$AP$30</x:f>
        <x:v>High</x:v>
      </x:c>
      <x:c r="R33" s="29" t="str">
        <x:f>IF(Q33="Unverified","PROXY / UNVERIFIED",IF(P33="","MISSING COVERAGE",IF(P33&lt;75%,"LIMITED COVERAGE","VERIFIED")))</x:f>
        <x:v>VERIFIED</x:v>
      </x:c>
      <x:c r="S33" s="29" t="str">
        <x:f>IF(N33&gt;0.000001,"TERMINAL FCFF FLOOR",IF(OR('Results Raw'!$BK$30=TRUE,'Results Raw'!$BL$30=TRUE),"EV FLOOR",IF(OR(O33="",O33&gt;=4),"DENOMINATOR-SENSITIVE","NORMAL")))</x:f>
        <x:v>NORMAL</x:v>
      </x:c>
      <x:c r="T33" s="29" t="str">
        <x:f>IF(OR(R33="PROXY / UNVERIFIED",R33="MISSING COVERAGE",S33&lt;&gt;"NORMAL"),"EXCLUDE",IF(R33="LIMITED COVERAGE","CAUTION","RANKABLE"))</x:f>
        <x:v>RANKABLE</x:v>
      </x:c>
      <x:c r="U33" s="43" t="str">
        <x:f>IF(T33="EXCLUDE","Illustrative only - do not assign an ordinary rank",IF(T33="CAUTION","Use with facility-coverage caveat","Decision-useable within the stated scenario only"))</x:f>
        <x:v>Decision-useable within the stated scenario only</x:v>
      </x:c>
    </x:row>
    <x:row r="34">
      <x:c r="A34" s="29" t="str">
        <x:f>'Results Raw'!$A$31</x:f>
        <x:v>CAT</x:v>
      </x:c>
      <x:c r="B34" s="29" t="str">
        <x:f>'Results Raw'!$B$31</x:f>
        <x:v>Industrials</x:v>
      </x:c>
      <x:c r="C34" s="29" t="str">
        <x:f>'Results Raw'!$E$31</x:f>
        <x:v>Net Zero vs baseline</x:v>
      </x:c>
      <x:c r="D34" s="29" t="str">
        <x:f>'Results Raw'!$I$31</x:f>
        <x:v>high</x:v>
      </x:c>
      <x:c r="E34" s="31" t="n">
        <x:f>'Results Raw'!$M$31/100</x:f>
        <x:v>-0.19655970575323167</x:v>
      </x:c>
      <x:c r="F34" s="33" t="n">
        <x:f>('Results Raw'!$O$31-'Results Raw'!$N$31)/1000000000</x:f>
        <x:v>-23.9098013507684</x:v>
      </x:c>
      <x:c r="G34" s="31" t="n">
        <x:f>IF(ABS('Results Raw'!$O$31)+ABS('Results Raw'!$N$31)=0,"",2*('Results Raw'!$O$31-'Results Raw'!$N$31)/(ABS('Results Raw'!$O$31)+ABS('Results Raw'!$N$31)))</x:f>
        <x:v>-0.21798304760106021</x:v>
      </x:c>
      <x:c r="H34" s="31" t="n">
        <x:f>'Results Raw'!$Z$31/100</x:f>
        <x:v>-0.18126810213968103</x:v>
      </x:c>
      <x:c r="I34" s="31" t="n">
        <x:f>'Results Raw'!$AA$31/100</x:f>
        <x:v>-0.005602460827434161</x:v>
      </x:c>
      <x:c r="J34" s="31" t="n">
        <x:f>'Results Raw'!$AB$31/100</x:f>
        <x:v>-0.009689142786116493</x:v>
      </x:c>
      <x:c r="K34" s="35" t="n">
        <x:f>ABS(E34-SUM(H34:J34))</x:f>
        <x:v>0</x:v>
      </x:c>
      <x:c r="L34" s="37" t="n">
        <x:f>('Results Raw'!$W$31+'Results Raw'!$X$31+'Results Raw'!$Y$31)/1000000000</x:f>
        <x:v>5.884211421650289</x:v>
      </x:c>
      <x:c r="M34" s="37" t="n">
        <x:f>'Results Raw'!$R$31/1000000000</x:f>
        <x:v>-5.884211421650289</x:v>
      </x:c>
      <x:c r="N34" s="37" t="n">
        <x:f>ABS('Results Raw'!$R$31+'Results Raw'!$W$31+'Results Raw'!$X$31+'Results Raw'!$Y$31)/1000000000</x:f>
        <x:v>3.5762786865234375e-16</x:v>
      </x:c>
      <x:c r="O34" s="39" t="n">
        <x:f>IF(MIN(ABS('Results Raw'!$O$31),ABS('Results Raw'!$N$31))=0,"",MAX(ABS('Results Raw'!$O$31)/ABS('Results Raw'!$N$31),ABS('Results Raw'!$N$31)/ABS('Results Raw'!$O$31)))</x:f>
        <x:v>1.2446475577099454</x:v>
      </x:c>
      <x:c r="P34" s="41" t="n">
        <x:f>IF('Results Raw'!$AO$31="","",'Results Raw'!$AO$31/100)</x:f>
        <x:v>1</x:v>
      </x:c>
      <x:c r="Q34" s="29" t="str">
        <x:f>'Results Raw'!$AP$31</x:f>
        <x:v>High</x:v>
      </x:c>
      <x:c r="R34" s="29" t="str">
        <x:f>IF(Q34="Unverified","PROXY / UNVERIFIED",IF(P34="","MISSING COVERAGE",IF(P34&lt;75%,"LIMITED COVERAGE","VERIFIED")))</x:f>
        <x:v>VERIFIED</x:v>
      </x:c>
      <x:c r="S34" s="29" t="str">
        <x:f>IF(N34&gt;0.000001,"TERMINAL FCFF FLOOR",IF(OR('Results Raw'!$BK$31=TRUE,'Results Raw'!$BL$31=TRUE),"EV FLOOR",IF(OR(O34="",O34&gt;=4),"DENOMINATOR-SENSITIVE","NORMAL")))</x:f>
        <x:v>NORMAL</x:v>
      </x:c>
      <x:c r="T34" s="29" t="str">
        <x:f>IF(OR(R34="PROXY / UNVERIFIED",R34="MISSING COVERAGE",S34&lt;&gt;"NORMAL"),"EXCLUDE",IF(R34="LIMITED COVERAGE","CAUTION","RANKABLE"))</x:f>
        <x:v>RANKABLE</x:v>
      </x:c>
      <x:c r="U34" s="43" t="str">
        <x:f>IF(T34="EXCLUDE","Illustrative only - do not assign an ordinary rank",IF(T34="CAUTION","Use with facility-coverage caveat","Decision-useable within the stated scenario only"))</x:f>
        <x:v>Decision-useable within the stated scenario only</x:v>
      </x:c>
    </x:row>
    <x:row r="35">
      <x:c r="A35" s="29" t="str">
        <x:f>'Results Raw'!$A$32</x:f>
        <x:v>CVX</x:v>
      </x:c>
      <x:c r="B35" s="29" t="str">
        <x:f>'Results Raw'!$B$32</x:f>
        <x:v>Energy</x:v>
      </x:c>
      <x:c r="C35" s="29" t="str">
        <x:f>'Results Raw'!$E$32</x:f>
        <x:v>Net Zero vs baseline</x:v>
      </x:c>
      <x:c r="D35" s="29" t="str">
        <x:f>'Results Raw'!$I$32</x:f>
        <x:v>low</x:v>
      </x:c>
      <x:c r="E35" s="31" t="n">
        <x:f>'Results Raw'!$M$32/100</x:f>
        <x:v>-0.0750913804828861</x:v>
      </x:c>
      <x:c r="F35" s="33" t="n">
        <x:f>('Results Raw'!$O$32-'Results Raw'!$N$32)/1000000000</x:f>
        <x:v>-28.283322384746523</x:v>
      </x:c>
      <x:c r="G35" s="31" t="n">
        <x:f>IF(ABS('Results Raw'!$O$32)+ABS('Results Raw'!$N$32)=0,"",2*('Results Raw'!$O$32-'Results Raw'!$N$32)/(ABS('Results Raw'!$O$32)+ABS('Results Raw'!$N$32)))</x:f>
        <x:v>-0.07802072235691232</x:v>
      </x:c>
      <x:c r="H35" s="31" t="n">
        <x:f>'Results Raw'!$Z$32/100</x:f>
        <x:v>-0.06739102100451477</x:v>
      </x:c>
      <x:c r="I35" s="31" t="n">
        <x:f>'Results Raw'!$AA$32/100</x:f>
        <x:v>-0.001309876805524695</x:v>
      </x:c>
      <x:c r="J35" s="31" t="n">
        <x:f>'Results Raw'!$AB$32/100</x:f>
        <x:v>-0.006390482672846594</x:v>
      </x:c>
      <x:c r="K35" s="35" t="n">
        <x:f>ABS(E35-SUM(H35:J35))</x:f>
        <x:v>5.551115123125783e-17</x:v>
      </x:c>
      <x:c r="L35" s="37" t="n">
        <x:f>('Results Raw'!$W$32+'Results Raw'!$X$32+'Results Raw'!$Y$32)/1000000000</x:f>
        <x:v>2.263322023309321</x:v>
      </x:c>
      <x:c r="M35" s="37" t="n">
        <x:f>'Results Raw'!$R$32/1000000000</x:f>
        <x:v>-2.2633220233093225</x:v>
      </x:c>
      <x:c r="N35" s="37" t="n">
        <x:f>ABS('Results Raw'!$R$32+'Results Raw'!$W$32+'Results Raw'!$X$32+'Results Raw'!$Y$32)/1000000000</x:f>
        <x:v>8.344650268554687e-16</x:v>
      </x:c>
      <x:c r="O35" s="39" t="n">
        <x:f>IF(MIN(ABS('Results Raw'!$O$32),ABS('Results Raw'!$N$32))=0,"",MAX(ABS('Results Raw'!$O$32)/ABS('Results Raw'!$N$32),ABS('Results Raw'!$N$32)/ABS('Results Raw'!$O$32)))</x:f>
        <x:v>1.081187891320648</x:v>
      </x:c>
      <x:c r="P35" s="41" t="n">
        <x:f>IF('Results Raw'!$AO$32="","",'Results Raw'!$AO$32/100)</x:f>
        <x:v>0.6415094339622641</x:v>
      </x:c>
      <x:c r="Q35" s="29" t="str">
        <x:f>'Results Raw'!$AP$32</x:f>
        <x:v>Medium</x:v>
      </x:c>
      <x:c r="R35" s="29" t="str">
        <x:f>IF(Q35="Unverified","PROXY / UNVERIFIED",IF(P35="","MISSING COVERAGE",IF(P35&lt;75%,"LIMITED COVERAGE","VERIFIED")))</x:f>
        <x:v>LIMITED COVERAGE</x:v>
      </x:c>
      <x:c r="S35" s="29" t="str">
        <x:f>IF(N35&gt;0.000001,"TERMINAL FCFF FLOOR",IF(OR('Results Raw'!$BK$32=TRUE,'Results Raw'!$BL$32=TRUE),"EV FLOOR",IF(OR(O35="",O35&gt;=4),"DENOMINATOR-SENSITIVE","NORMAL")))</x:f>
        <x:v>NORMAL</x:v>
      </x:c>
      <x:c r="T35" s="29" t="str">
        <x:f>IF(OR(R35="PROXY / UNVERIFIED",R35="MISSING COVERAGE",S35&lt;&gt;"NORMAL"),"EXCLUDE",IF(R35="LIMITED COVERAGE","CAUTION","RANKABLE"))</x:f>
        <x:v>CAUTION</x:v>
      </x:c>
      <x:c r="U35" s="43" t="str">
        <x:f>IF(T35="EXCLUDE","Illustrative only - do not assign an ordinary rank",IF(T35="CAUTION","Use with facility-coverage caveat","Decision-useable within the stated scenario only"))</x:f>
        <x:v>Use with facility-coverage caveat</x:v>
      </x:c>
    </x:row>
    <x:row r="36">
      <x:c r="A36" s="29" t="str">
        <x:f>'Results Raw'!$A$33</x:f>
        <x:v>CVX</x:v>
      </x:c>
      <x:c r="B36" s="29" t="str">
        <x:f>'Results Raw'!$B$33</x:f>
        <x:v>Energy</x:v>
      </x:c>
      <x:c r="C36" s="29" t="str">
        <x:f>'Results Raw'!$E$33</x:f>
        <x:v>Net Zero vs baseline</x:v>
      </x:c>
      <x:c r="D36" s="29" t="str">
        <x:f>'Results Raw'!$I$33</x:f>
        <x:v>base</x:v>
      </x:c>
      <x:c r="E36" s="31" t="n">
        <x:f>'Results Raw'!$M$33/100</x:f>
        <x:v>-0.25759684409994565</x:v>
      </x:c>
      <x:c r="F36" s="33" t="n">
        <x:f>('Results Raw'!$O$33-'Results Raw'!$N$33)/1000000000</x:f>
        <x:v>-97.02437936445342</x:v>
      </x:c>
      <x:c r="G36" s="31" t="n">
        <x:f>IF(ABS('Results Raw'!$O$33)+ABS('Results Raw'!$N$33)=0,"",2*('Results Raw'!$O$33-'Results Raw'!$N$33)/(ABS('Results Raw'!$O$33)+ABS('Results Raw'!$N$33)))</x:f>
        <x:v>-0.2956799558445262</x:v>
      </x:c>
      <x:c r="H36" s="31" t="n">
        <x:f>'Results Raw'!$Z$33/100</x:f>
        <x:v>-0.24271454708197854</x:v>
      </x:c>
      <x:c r="I36" s="31" t="n">
        <x:f>'Results Raw'!$AA$33/100</x:f>
        <x:v>-0.003927183864515699</x:v>
      </x:c>
      <x:c r="J36" s="31" t="n">
        <x:f>'Results Raw'!$AB$33/100</x:f>
        <x:v>-0.010955113153451358</x:v>
      </x:c>
      <x:c r="K36" s="35" t="n">
        <x:f>ABS(E36-SUM(H36:J36))</x:f>
        <x:v>5.551115123125783e-17</x:v>
      </x:c>
      <x:c r="L36" s="37" t="n">
        <x:f>('Results Raw'!$W$33+'Results Raw'!$X$33+'Results Raw'!$Y$33)/1000000000</x:f>
        <x:v>8.91847188408254</x:v>
      </x:c>
      <x:c r="M36" s="37" t="n">
        <x:f>'Results Raw'!$R$33/1000000000</x:f>
        <x:v>-8.918471884082543</x:v>
      </x:c>
      <x:c r="N36" s="37" t="n">
        <x:f>ABS('Results Raw'!$R$33+'Results Raw'!$W$33+'Results Raw'!$X$33+'Results Raw'!$Y$33)/1000000000</x:f>
        <x:v>1.251697540283203e-15</x:v>
      </x:c>
      <x:c r="O36" s="39" t="n">
        <x:f>IF(MIN(ABS('Results Raw'!$O$33),ABS('Results Raw'!$N$33))=0,"",MAX(ABS('Results Raw'!$O$33)/ABS('Results Raw'!$N$33),ABS('Results Raw'!$N$33)/ABS('Results Raw'!$O$33)))</x:f>
        <x:v>1.3469770326981536</x:v>
      </x:c>
      <x:c r="P36" s="41" t="n">
        <x:f>IF('Results Raw'!$AO$33="","",'Results Raw'!$AO$33/100)</x:f>
        <x:v>0.6415094339622641</x:v>
      </x:c>
      <x:c r="Q36" s="29" t="str">
        <x:f>'Results Raw'!$AP$33</x:f>
        <x:v>Medium</x:v>
      </x:c>
      <x:c r="R36" s="29" t="str">
        <x:f>IF(Q36="Unverified","PROXY / UNVERIFIED",IF(P36="","MISSING COVERAGE",IF(P36&lt;75%,"LIMITED COVERAGE","VERIFIED")))</x:f>
        <x:v>LIMITED COVERAGE</x:v>
      </x:c>
      <x:c r="S36" s="29" t="str">
        <x:f>IF(N36&gt;0.000001,"TERMINAL FCFF FLOOR",IF(OR('Results Raw'!$BK$33=TRUE,'Results Raw'!$BL$33=TRUE),"EV FLOOR",IF(OR(O36="",O36&gt;=4),"DENOMINATOR-SENSITIVE","NORMAL")))</x:f>
        <x:v>NORMAL</x:v>
      </x:c>
      <x:c r="T36" s="29" t="str">
        <x:f>IF(OR(R36="PROXY / UNVERIFIED",R36="MISSING COVERAGE",S36&lt;&gt;"NORMAL"),"EXCLUDE",IF(R36="LIMITED COVERAGE","CAUTION","RANKABLE"))</x:f>
        <x:v>CAUTION</x:v>
      </x:c>
      <x:c r="U36" s="43" t="str">
        <x:f>IF(T36="EXCLUDE","Illustrative only - do not assign an ordinary rank",IF(T36="CAUTION","Use with facility-coverage caveat","Decision-useable within the stated scenario only"))</x:f>
        <x:v>Use with facility-coverage caveat</x:v>
      </x:c>
    </x:row>
    <x:row r="37">
      <x:c r="A37" s="29" t="str">
        <x:f>'Results Raw'!$A$34</x:f>
        <x:v>CVX</x:v>
      </x:c>
      <x:c r="B37" s="29" t="str">
        <x:f>'Results Raw'!$B$34</x:f>
        <x:v>Energy</x:v>
      </x:c>
      <x:c r="C37" s="29" t="str">
        <x:f>'Results Raw'!$E$34</x:f>
        <x:v>Net Zero vs baseline</x:v>
      </x:c>
      <x:c r="D37" s="29" t="str">
        <x:f>'Results Raw'!$I$34</x:f>
        <x:v>high</x:v>
      </x:c>
      <x:c r="E37" s="31" t="n">
        <x:f>'Results Raw'!$M$34/100</x:f>
        <x:v>-0.699210573929396</x:v>
      </x:c>
      <x:c r="F37" s="33" t="n">
        <x:f>('Results Raw'!$O$34-'Results Raw'!$N$34)/1000000000</x:f>
        <x:v>-263.35909594545086</x:v>
      </x:c>
      <x:c r="G37" s="31" t="n">
        <x:f>IF(ABS('Results Raw'!$O$34)+ABS('Results Raw'!$N$34)=0,"",2*('Results Raw'!$O$34-'Results Raw'!$N$34)/(ABS('Results Raw'!$O$34)+ABS('Results Raw'!$N$34)))</x:f>
        <x:v>-1.0750557467884034</x:v>
      </x:c>
      <x:c r="H37" s="31" t="n">
        <x:f>'Results Raw'!$Z$34/100</x:f>
        <x:v>-0.6712609862485698</x:v>
      </x:c>
      <x:c r="I37" s="31" t="n">
        <x:f>'Results Raw'!$AA$34/100</x:f>
        <x:v>-0.009691065758407355</x:v>
      </x:c>
      <x:c r="J37" s="31" t="n">
        <x:f>'Results Raw'!$AB$34/100</x:f>
        <x:v>-0.018258521922418773</x:v>
      </x:c>
      <x:c r="K37" s="35" t="n">
        <x:f>ABS(E37-SUM(H37:J37))</x:f>
        <x:v>1.1102230246251565e-16</x:v>
      </x:c>
      <x:c r="L37" s="37" t="n">
        <x:f>('Results Raw'!$W$34+'Results Raw'!$X$34+'Results Raw'!$Y$34)/1000000000</x:f>
        <x:v>27.70435120820158</x:v>
      </x:c>
      <x:c r="M37" s="37" t="n">
        <x:f>'Results Raw'!$R$34/1000000000</x:f>
        <x:v>-27.70435120820158</x:v>
      </x:c>
      <x:c r="N37" s="37" t="n">
        <x:f>ABS('Results Raw'!$R$34+'Results Raw'!$W$34+'Results Raw'!$X$34+'Results Raw'!$Y$34)/1000000000</x:f>
        <x:v>1.9073486328125e-15</x:v>
      </x:c>
      <x:c r="O37" s="39" t="n">
        <x:f>IF(MIN(ABS('Results Raw'!$O$34),ABS('Results Raw'!$N$34))=0,"",MAX(ABS('Results Raw'!$O$34)/ABS('Results Raw'!$N$34),ABS('Results Raw'!$N$34)/ABS('Results Raw'!$O$34)))</x:f>
        <x:v>3.3245849532133187</x:v>
      </x:c>
      <x:c r="P37" s="41" t="n">
        <x:f>IF('Results Raw'!$AO$34="","",'Results Raw'!$AO$34/100)</x:f>
        <x:v>0.6415094339622641</x:v>
      </x:c>
      <x:c r="Q37" s="29" t="str">
        <x:f>'Results Raw'!$AP$34</x:f>
        <x:v>Medium</x:v>
      </x:c>
      <x:c r="R37" s="29" t="str">
        <x:f>IF(Q37="Unverified","PROXY / UNVERIFIED",IF(P37="","MISSING COVERAGE",IF(P37&lt;75%,"LIMITED COVERAGE","VERIFIED")))</x:f>
        <x:v>LIMITED COVERAGE</x:v>
      </x:c>
      <x:c r="S37" s="29" t="str">
        <x:f>IF(N37&gt;0.000001,"TERMINAL FCFF FLOOR",IF(OR('Results Raw'!$BK$34=TRUE,'Results Raw'!$BL$34=TRUE),"EV FLOOR",IF(OR(O37="",O37&gt;=4),"DENOMINATOR-SENSITIVE","NORMAL")))</x:f>
        <x:v>NORMAL</x:v>
      </x:c>
      <x:c r="T37" s="29" t="str">
        <x:f>IF(OR(R37="PROXY / UNVERIFIED",R37="MISSING COVERAGE",S37&lt;&gt;"NORMAL"),"EXCLUDE",IF(R37="LIMITED COVERAGE","CAUTION","RANKABLE"))</x:f>
        <x:v>CAUTION</x:v>
      </x:c>
      <x:c r="U37" s="43" t="str">
        <x:f>IF(T37="EXCLUDE","Illustrative only - do not assign an ordinary rank",IF(T37="CAUTION","Use with facility-coverage caveat","Decision-useable within the stated scenario only"))</x:f>
        <x:v>Use with facility-coverage caveat</x:v>
      </x:c>
    </x:row>
    <x:row r="38">
      <x:c r="A38" s="29" t="str">
        <x:f>'Results Raw'!$A$35</x:f>
        <x:v>DE</x:v>
      </x:c>
      <x:c r="B38" s="29" t="str">
        <x:f>'Results Raw'!$B$35</x:f>
        <x:v>Industrials</x:v>
      </x:c>
      <x:c r="C38" s="29" t="str">
        <x:f>'Results Raw'!$E$35</x:f>
        <x:v>Net Zero vs baseline</x:v>
      </x:c>
      <x:c r="D38" s="29" t="str">
        <x:f>'Results Raw'!$I$35</x:f>
        <x:v>low</x:v>
      </x:c>
      <x:c r="E38" s="31" t="n">
        <x:f>'Results Raw'!$M$35/100</x:f>
        <x:v>-0.007091428227419483</x:v>
      </x:c>
      <x:c r="F38" s="33" t="n">
        <x:f>('Results Raw'!$O$35-'Results Raw'!$N$35)/1000000000</x:f>
        <x:v>-1.1065130675184935</x:v>
      </x:c>
      <x:c r="G38" s="31" t="n">
        <x:f>IF(ABS('Results Raw'!$O$35)+ABS('Results Raw'!$N$35)=0,"",2*('Results Raw'!$O$35-'Results Raw'!$N$35)/(ABS('Results Raw'!$O$35)+ABS('Results Raw'!$N$35)))</x:f>
        <x:v>-0.0071166618758753035</x:v>
      </x:c>
      <x:c r="H38" s="31" t="n">
        <x:f>'Results Raw'!$Z$35/100</x:f>
        <x:v>-0.0025179012558387524</x:v>
      </x:c>
      <x:c r="I38" s="31" t="n">
        <x:f>'Results Raw'!$AA$35/100</x:f>
        <x:v>-0.0005291959891095528</x:v>
      </x:c>
      <x:c r="J38" s="31" t="n">
        <x:f>'Results Raw'!$AB$35/100</x:f>
        <x:v>-0.0040443309824712064</x:v>
      </x:c>
      <x:c r="K38" s="35" t="n">
        <x:f>ABS(E38-SUM(H38:J38))</x:f>
        <x:v>2.862293735361732e-17</x:v>
      </x:c>
      <x:c r="L38" s="37" t="n">
        <x:f>('Results Raw'!$W$35+'Results Raw'!$X$35+'Results Raw'!$Y$35)/1000000000</x:f>
        <x:v>0.1506898561456952</x:v>
      </x:c>
      <x:c r="M38" s="37" t="n">
        <x:f>'Results Raw'!$R$35/1000000000</x:f>
        <x:v>-0.15068985614569474</x:v>
      </x:c>
      <x:c r="N38" s="37" t="n">
        <x:f>ABS('Results Raw'!$R$35+'Results Raw'!$W$35+'Results Raw'!$X$35+'Results Raw'!$Y$35)/1000000000</x:f>
        <x:v>4.470348358154296e-16</x:v>
      </x:c>
      <x:c r="O38" s="39" t="n">
        <x:f>IF(MIN(ABS('Results Raw'!$O$35),ABS('Results Raw'!$N$35))=0,"",MAX(ABS('Results Raw'!$O$35)/ABS('Results Raw'!$N$35),ABS('Results Raw'!$N$35)/ABS('Results Raw'!$O$35)))</x:f>
        <x:v>1.0071420757449596</x:v>
      </x:c>
      <x:c r="P38" s="41" t="n">
        <x:f>IF('Results Raw'!$AO$35="","",'Results Raw'!$AO$35/100)</x:f>
        <x:v>1</x:v>
      </x:c>
      <x:c r="Q38" s="29" t="str">
        <x:f>'Results Raw'!$AP$35</x:f>
        <x:v>High</x:v>
      </x:c>
      <x:c r="R38" s="29" t="str">
        <x:f>IF(Q38="Unverified","PROXY / UNVERIFIED",IF(P38="","MISSING COVERAGE",IF(P38&lt;75%,"LIMITED COVERAGE","VERIFIED")))</x:f>
        <x:v>VERIFIED</x:v>
      </x:c>
      <x:c r="S38" s="29" t="str">
        <x:f>IF(N38&gt;0.000001,"TERMINAL FCFF FLOOR",IF(OR('Results Raw'!$BK$35=TRUE,'Results Raw'!$BL$35=TRUE),"EV FLOOR",IF(OR(O38="",O38&gt;=4),"DENOMINATOR-SENSITIVE","NORMAL")))</x:f>
        <x:v>NORMAL</x:v>
      </x:c>
      <x:c r="T38" s="29" t="str">
        <x:f>IF(OR(R38="PROXY / UNVERIFIED",R38="MISSING COVERAGE",S38&lt;&gt;"NORMAL"),"EXCLUDE",IF(R38="LIMITED COVERAGE","CAUTION","RANKABLE"))</x:f>
        <x:v>RANKABLE</x:v>
      </x:c>
      <x:c r="U38" s="43" t="str">
        <x:f>IF(T38="EXCLUDE","Illustrative only - do not assign an ordinary rank",IF(T38="CAUTION","Use with facility-coverage caveat","Decision-useable within the stated scenario only"))</x:f>
        <x:v>Decision-useable within the stated scenario only</x:v>
      </x:c>
    </x:row>
    <x:row r="39">
      <x:c r="A39" s="29" t="str">
        <x:f>'Results Raw'!$A$36</x:f>
        <x:v>DE</x:v>
      </x:c>
      <x:c r="B39" s="29" t="str">
        <x:f>'Results Raw'!$B$36</x:f>
        <x:v>Industrials</x:v>
      </x:c>
      <x:c r="C39" s="29" t="str">
        <x:f>'Results Raw'!$E$36</x:f>
        <x:v>Net Zero vs baseline</x:v>
      </x:c>
      <x:c r="D39" s="29" t="str">
        <x:f>'Results Raw'!$I$36</x:f>
        <x:v>base</x:v>
      </x:c>
      <x:c r="E39" s="31" t="n">
        <x:f>'Results Raw'!$M$36/100</x:f>
        <x:v>-0.019549841909367482</x:v>
      </x:c>
      <x:c r="F39" s="33" t="n">
        <x:f>('Results Raw'!$O$36-'Results Raw'!$N$36)/1000000000</x:f>
        <x:v>-3.0504652725657655</x:v>
      </x:c>
      <x:c r="G39" s="31" t="n">
        <x:f>IF(ABS('Results Raw'!$O$36)+ABS('Results Raw'!$N$36)=0,"",2*('Results Raw'!$O$36-'Results Raw'!$N$36)/(ABS('Results Raw'!$O$36)+ABS('Results Raw'!$N$36)))</x:f>
        <x:v>-0.01974282647760815</x:v>
      </x:c>
      <x:c r="H39" s="31" t="n">
        <x:f>'Results Raw'!$Z$36/100</x:f>
        <x:v>-0.010858239995359488</x:v>
      </x:c>
      <x:c r="I39" s="31" t="n">
        <x:f>'Results Raw'!$AA$36/100</x:f>
        <x:v>-0.0017584630869144384</x:v>
      </x:c>
      <x:c r="J39" s="31" t="n">
        <x:f>'Results Raw'!$AB$36/100</x:f>
        <x:v>-0.006933138827093557</x:v>
      </x:c>
      <x:c r="K39" s="35" t="n">
        <x:f>ABS(E39-SUM(H39:J39))</x:f>
        <x:v>0</x:v>
      </x:c>
      <x:c r="L39" s="37" t="n">
        <x:f>('Results Raw'!$W$36+'Results Raw'!$X$36+'Results Raw'!$Y$36)/1000000000</x:f>
        <x:v>0.40052405316376904</x:v>
      </x:c>
      <x:c r="M39" s="37" t="n">
        <x:f>'Results Raw'!$R$36/1000000000</x:f>
        <x:v>-0.40052405316376877</x:v>
      </x:c>
      <x:c r="N39" s="37" t="n">
        <x:f>ABS('Results Raw'!$R$36+'Results Raw'!$W$36+'Results Raw'!$X$36+'Results Raw'!$Y$36)/1000000000</x:f>
        <x:v>2.9802322387695313e-16</x:v>
      </x:c>
      <x:c r="O39" s="39" t="n">
        <x:f>IF(MIN(ABS('Results Raw'!$O$36),ABS('Results Raw'!$N$36))=0,"",MAX(ABS('Results Raw'!$O$36)/ABS('Results Raw'!$N$36),ABS('Results Raw'!$N$36)/ABS('Results Raw'!$O$36)))</x:f>
        <x:v>1.0199396590923495</x:v>
      </x:c>
      <x:c r="P39" s="41" t="n">
        <x:f>IF('Results Raw'!$AO$36="","",'Results Raw'!$AO$36/100)</x:f>
        <x:v>1</x:v>
      </x:c>
      <x:c r="Q39" s="29" t="str">
        <x:f>'Results Raw'!$AP$36</x:f>
        <x:v>High</x:v>
      </x:c>
      <x:c r="R39" s="29" t="str">
        <x:f>IF(Q39="Unverified","PROXY / UNVERIFIED",IF(P39="","MISSING COVERAGE",IF(P39&lt;75%,"LIMITED COVERAGE","VERIFIED")))</x:f>
        <x:v>VERIFIED</x:v>
      </x:c>
      <x:c r="S39" s="29" t="str">
        <x:f>IF(N39&gt;0.000001,"TERMINAL FCFF FLOOR",IF(OR('Results Raw'!$BK$36=TRUE,'Results Raw'!$BL$36=TRUE),"EV FLOOR",IF(OR(O39="",O39&gt;=4),"DENOMINATOR-SENSITIVE","NORMAL")))</x:f>
        <x:v>NORMAL</x:v>
      </x:c>
      <x:c r="T39" s="29" t="str">
        <x:f>IF(OR(R39="PROXY / UNVERIFIED",R39="MISSING COVERAGE",S39&lt;&gt;"NORMAL"),"EXCLUDE",IF(R39="LIMITED COVERAGE","CAUTION","RANKABLE"))</x:f>
        <x:v>RANKABLE</x:v>
      </x:c>
      <x:c r="U39" s="43" t="str">
        <x:f>IF(T39="EXCLUDE","Illustrative only - do not assign an ordinary rank",IF(T39="CAUTION","Use with facility-coverage caveat","Decision-useable within the stated scenario only"))</x:f>
        <x:v>Decision-useable within the stated scenario only</x:v>
      </x:c>
    </x:row>
    <x:row r="40">
      <x:c r="A40" s="29" t="str">
        <x:f>'Results Raw'!$A$37</x:f>
        <x:v>DE</x:v>
      </x:c>
      <x:c r="B40" s="29" t="str">
        <x:f>'Results Raw'!$B$37</x:f>
        <x:v>Industrials</x:v>
      </x:c>
      <x:c r="C40" s="29" t="str">
        <x:f>'Results Raw'!$E$37</x:f>
        <x:v>Net Zero vs baseline</x:v>
      </x:c>
      <x:c r="D40" s="29" t="str">
        <x:f>'Results Raw'!$I$37</x:f>
        <x:v>high</x:v>
      </x:c>
      <x:c r="E40" s="31" t="n">
        <x:f>'Results Raw'!$M$37/100</x:f>
        <x:v>-0.05604546374964647</x:v>
      </x:c>
      <x:c r="F40" s="33" t="n">
        <x:f>('Results Raw'!$O$37-'Results Raw'!$N$37)/1000000000</x:f>
        <x:v>-8.745070248942566</x:v>
      </x:c>
      <x:c r="G40" s="31" t="n">
        <x:f>IF(ABS('Results Raw'!$O$37)+ABS('Results Raw'!$N$37)=0,"",2*('Results Raw'!$O$37-'Results Raw'!$N$37)/(ABS('Results Raw'!$O$37)+ABS('Results Raw'!$N$37)))</x:f>
        <x:v>-0.05766129063671544</x:v>
      </x:c>
      <x:c r="H40" s="31" t="n">
        <x:f>'Results Raw'!$Z$37/100</x:f>
        <x:v>-0.038899329702633205</x:v>
      </x:c>
      <x:c r="I40" s="31" t="n">
        <x:f>'Results Raw'!$AA$37/100</x:f>
        <x:v>-0.0055909026685240885</x:v>
      </x:c>
      <x:c r="J40" s="31" t="n">
        <x:f>'Results Raw'!$AB$37/100</x:f>
        <x:v>-0.011555231378489208</x:v>
      </x:c>
      <x:c r="K40" s="35" t="n">
        <x:f>ABS(E40-SUM(H40:J40))</x:f>
        <x:v>3.469446951953614e-17</x:v>
      </x:c>
      <x:c r="L40" s="37" t="n">
        <x:f>('Results Raw'!$W$37+'Results Raw'!$X$37+'Results Raw'!$Y$37)/1000000000</x:f>
        <x:v>1.2022412444524908</x:v>
      </x:c>
      <x:c r="M40" s="37" t="n">
        <x:f>'Results Raw'!$R$37/1000000000</x:f>
        <x:v>-1.2022412444524917</x:v>
      </x:c>
      <x:c r="N40" s="37" t="n">
        <x:f>ABS('Results Raw'!$R$37+'Results Raw'!$W$37+'Results Raw'!$X$37+'Results Raw'!$Y$37)/1000000000</x:f>
        <x:v>9.5367431640625e-16</x:v>
      </x:c>
      <x:c r="O40" s="39" t="n">
        <x:f>IF(MIN(ABS('Results Raw'!$O$37),ABS('Results Raw'!$N$37))=0,"",MAX(ABS('Results Raw'!$O$37)/ABS('Results Raw'!$N$37),ABS('Results Raw'!$N$37)/ABS('Results Raw'!$O$37)))</x:f>
        <x:v>1.059373054100968</x:v>
      </x:c>
      <x:c r="P40" s="41" t="n">
        <x:f>IF('Results Raw'!$AO$37="","",'Results Raw'!$AO$37/100)</x:f>
        <x:v>1</x:v>
      </x:c>
      <x:c r="Q40" s="29" t="str">
        <x:f>'Results Raw'!$AP$37</x:f>
        <x:v>High</x:v>
      </x:c>
      <x:c r="R40" s="29" t="str">
        <x:f>IF(Q40="Unverified","PROXY / UNVERIFIED",IF(P40="","MISSING COVERAGE",IF(P40&lt;75%,"LIMITED COVERAGE","VERIFIED")))</x:f>
        <x:v>VERIFIED</x:v>
      </x:c>
      <x:c r="S40" s="29" t="str">
        <x:f>IF(N40&gt;0.000001,"TERMINAL FCFF FLOOR",IF(OR('Results Raw'!$BK$37=TRUE,'Results Raw'!$BL$37=TRUE),"EV FLOOR",IF(OR(O40="",O40&gt;=4),"DENOMINATOR-SENSITIVE","NORMAL")))</x:f>
        <x:v>NORMAL</x:v>
      </x:c>
      <x:c r="T40" s="29" t="str">
        <x:f>IF(OR(R40="PROXY / UNVERIFIED",R40="MISSING COVERAGE",S40&lt;&gt;"NORMAL"),"EXCLUDE",IF(R40="LIMITED COVERAGE","CAUTION","RANKABLE"))</x:f>
        <x:v>RANKABLE</x:v>
      </x:c>
      <x:c r="U40" s="43" t="str">
        <x:f>IF(T40="EXCLUDE","Illustrative only - do not assign an ordinary rank",IF(T40="CAUTION","Use with facility-coverage caveat","Decision-useable within the stated scenario only"))</x:f>
        <x:v>Decision-useable within the stated scenario only</x:v>
      </x:c>
    </x:row>
    <x:row r="41">
      <x:c r="A41" s="29" t="str">
        <x:f>'Results Raw'!$A$38</x:f>
        <x:v>DUK</x:v>
      </x:c>
      <x:c r="B41" s="29" t="str">
        <x:f>'Results Raw'!$B$38</x:f>
        <x:v>Utilities</x:v>
      </x:c>
      <x:c r="C41" s="29" t="str">
        <x:f>'Results Raw'!$E$38</x:f>
        <x:v>Net Zero vs baseline</x:v>
      </x:c>
      <x:c r="D41" s="29" t="str">
        <x:f>'Results Raw'!$I$38</x:f>
        <x:v>low</x:v>
      </x:c>
      <x:c r="E41" s="31" t="n">
        <x:f>'Results Raw'!$M$38/100</x:f>
        <x:v>-0.9745902133993422</x:v>
      </x:c>
      <x:c r="F41" s="33" t="n">
        <x:f>('Results Raw'!$O$38-'Results Raw'!$N$38)/1000000000</x:f>
        <x:v>-48.85834631434952</x:v>
      </x:c>
      <x:c r="G41" s="31" t="n">
        <x:f>IF(ABS('Results Raw'!$O$38)+ABS('Results Raw'!$N$38)=0,"",2*('Results Raw'!$O$38-'Results Raw'!$N$38)/(ABS('Results Raw'!$O$38)+ABS('Results Raw'!$N$38)))</x:f>
        <x:v>-1.9008794847379247</x:v>
      </x:c>
      <x:c r="H41" s="31" t="n">
        <x:f>'Results Raw'!$Z$38/100</x:f>
        <x:v>-0.9656469415151828</x:v>
      </x:c>
      <x:c r="I41" s="31" t="n">
        <x:f>'Results Raw'!$AA$38/100</x:f>
        <x:v>-0.0027517120475203326</x:v>
      </x:c>
      <x:c r="J41" s="31" t="n">
        <x:f>'Results Raw'!$AB$38/100</x:f>
        <x:v>-0.006191559836638749</x:v>
      </x:c>
      <x:c r="K41" s="35" t="n">
        <x:f>ABS(E41-SUM(H41:J41))</x:f>
        <x:v>2.220446049250313e-16</x:v>
      </x:c>
      <x:c r="L41" s="37" t="n">
        <x:f>('Results Raw'!$W$38+'Results Raw'!$X$38+'Results Raw'!$Y$38)/1000000000</x:f>
        <x:v>2.778657468609077</x:v>
      </x:c>
      <x:c r="M41" s="37" t="n">
        <x:f>'Results Raw'!$R$38/1000000000</x:f>
        <x:v>-2.512681140106454</x:v>
      </x:c>
      <x:c r="N41" s="37" t="n">
        <x:f>ABS('Results Raw'!$R$38+'Results Raw'!$W$38+'Results Raw'!$X$38+'Results Raw'!$Y$38)/1000000000</x:f>
        <x:v>0.2659763285026227</x:v>
      </x:c>
      <x:c r="O41" s="39" t="n">
        <x:f>IF(MIN(ABS('Results Raw'!$O$38),ABS('Results Raw'!$N$38))=0,"",MAX(ABS('Results Raw'!$O$38)/ABS('Results Raw'!$N$38),ABS('Results Raw'!$N$38)/ABS('Results Raw'!$O$38)))</x:f>
        <x:v>39.354915321252854</x:v>
      </x:c>
      <x:c r="P41" s="41" t="n">
        <x:f>IF('Results Raw'!$AO$38="","",'Results Raw'!$AO$38/100)</x:f>
        <x:v>0.9795918367346939</x:v>
      </x:c>
      <x:c r="Q41" s="29" t="str">
        <x:f>'Results Raw'!$AP$38</x:f>
        <x:v>High</x:v>
      </x:c>
      <x:c r="R41" s="29" t="str">
        <x:f>IF(Q41="Unverified","PROXY / UNVERIFIED",IF(P41="","MISSING COVERAGE",IF(P41&lt;75%,"LIMITED COVERAGE","VERIFIED")))</x:f>
        <x:v>VERIFIED</x:v>
      </x:c>
      <x:c r="S41" s="29" t="str">
        <x:f>IF(N41&gt;0.000001,"TERMINAL FCFF FLOOR",IF(OR('Results Raw'!$BK$38=TRUE,'Results Raw'!$BL$38=TRUE),"EV FLOOR",IF(OR(O41="",O41&gt;=4),"DENOMINATOR-SENSITIVE","NORMAL")))</x:f>
        <x:v>TERMINAL FCFF FLOOR</x:v>
      </x:c>
      <x:c r="T41" s="29" t="str">
        <x:f>IF(OR(R41="PROXY / UNVERIFIED",R41="MISSING COVERAGE",S41&lt;&gt;"NORMAL"),"EXCLUDE",IF(R41="LIMITED COVERAGE","CAUTION","RANKABLE"))</x:f>
        <x:v>EXCLUDE</x:v>
      </x:c>
      <x:c r="U41" s="43" t="str">
        <x:f>IF(T41="EXCLUDE","Illustrative only - do not assign an ordinary rank",IF(T41="CAUTION","Use with facility-coverage caveat","Decision-useable within the stated scenario only"))</x:f>
        <x:v>Illustrative only - do not assign an ordinary rank</x:v>
      </x:c>
    </x:row>
    <x:row r="42">
      <x:c r="A42" s="29" t="str">
        <x:f>'Results Raw'!$A$39</x:f>
        <x:v>DUK</x:v>
      </x:c>
      <x:c r="B42" s="29" t="str">
        <x:f>'Results Raw'!$B$39</x:f>
        <x:v>Utilities</x:v>
      </x:c>
      <x:c r="C42" s="29" t="str">
        <x:f>'Results Raw'!$E$39</x:f>
        <x:v>Net Zero vs baseline</x:v>
      </x:c>
      <x:c r="D42" s="29" t="str">
        <x:f>'Results Raw'!$I$39</x:f>
        <x:v>base</x:v>
      </x:c>
      <x:c r="E42" s="31" t="n">
        <x:f>'Results Raw'!$M$39/100</x:f>
        <x:v>-1</x:v>
      </x:c>
      <x:c r="F42" s="33" t="n">
        <x:f>('Results Raw'!$O$39-'Results Raw'!$N$39)/1000000000</x:f>
        <x:v>-50.13219468306894</x:v>
      </x:c>
      <x:c r="G42" s="31" t="n">
        <x:f>IF(ABS('Results Raw'!$O$39)+ABS('Results Raw'!$N$39)=0,"",2*('Results Raw'!$O$39-'Results Raw'!$N$39)/(ABS('Results Raw'!$O$39)+ABS('Results Raw'!$N$39)))</x:f>
        <x:v>-2</x:v>
      </x:c>
      <x:c r="H42" s="31" t="n">
        <x:f>'Results Raw'!$Z$39/100</x:f>
        <x:v>-0.9818544184902251</x:v>
      </x:c>
      <x:c r="I42" s="31" t="n">
        <x:f>'Results Raw'!$AA$39/100</x:f>
        <x:v>-0.007632227007975809</x:v>
      </x:c>
      <x:c r="J42" s="31" t="n">
        <x:f>'Results Raw'!$AB$39/100</x:f>
        <x:v>-0.010513354501799212</x:v>
      </x:c>
      <x:c r="K42" s="35" t="n">
        <x:f>ABS(E42-SUM(H42:J42))</x:f>
        <x:v>2.220446049250313e-16</x:v>
      </x:c>
      <x:c r="L42" s="37" t="n">
        <x:f>('Results Raw'!$W$39+'Results Raw'!$X$39+'Results Raw'!$Y$39)/1000000000</x:f>
        <x:v>11.578243358860194</x:v>
      </x:c>
      <x:c r="M42" s="37" t="n">
        <x:f>'Results Raw'!$R$39/1000000000</x:f>
        <x:v>-2.512681140106454</x:v>
      </x:c>
      <x:c r="N42" s="37" t="n">
        <x:f>ABS('Results Raw'!$R$39+'Results Raw'!$W$39+'Results Raw'!$X$39+'Results Raw'!$Y$39)/1000000000</x:f>
        <x:v>9.065562218753739</x:v>
      </x:c>
      <x:c r="O42" s="39" t="str">
        <x:f>IF(MIN(ABS('Results Raw'!$O$39),ABS('Results Raw'!$N$39))=0,"",MAX(ABS('Results Raw'!$O$39)/ABS('Results Raw'!$N$39),ABS('Results Raw'!$N$39)/ABS('Results Raw'!$O$39)))</x:f>
      </x:c>
      <x:c r="P42" s="41" t="n">
        <x:f>IF('Results Raw'!$AO$39="","",'Results Raw'!$AO$39/100)</x:f>
        <x:v>0.9795918367346939</x:v>
      </x:c>
      <x:c r="Q42" s="29" t="str">
        <x:f>'Results Raw'!$AP$39</x:f>
        <x:v>High</x:v>
      </x:c>
      <x:c r="R42" s="29" t="str">
        <x:f>IF(Q42="Unverified","PROXY / UNVERIFIED",IF(P42="","MISSING COVERAGE",IF(P42&lt;75%,"LIMITED COVERAGE","VERIFIED")))</x:f>
        <x:v>VERIFIED</x:v>
      </x:c>
      <x:c r="S42" s="29" t="str">
        <x:f>IF(N42&gt;0.000001,"TERMINAL FCFF FLOOR",IF(OR('Results Raw'!$BK$39=TRUE,'Results Raw'!$BL$39=TRUE),"EV FLOOR",IF(OR(O42="",O42&gt;=4),"DENOMINATOR-SENSITIVE","NORMAL")))</x:f>
        <x:v>TERMINAL FCFF FLOOR</x:v>
      </x:c>
      <x:c r="T42" s="29" t="str">
        <x:f>IF(OR(R42="PROXY / UNVERIFIED",R42="MISSING COVERAGE",S42&lt;&gt;"NORMAL"),"EXCLUDE",IF(R42="LIMITED COVERAGE","CAUTION","RANKABLE"))</x:f>
        <x:v>EXCLUDE</x:v>
      </x:c>
      <x:c r="U42" s="43" t="str">
        <x:f>IF(T42="EXCLUDE","Illustrative only - do not assign an ordinary rank",IF(T42="CAUTION","Use with facility-coverage caveat","Decision-useable within the stated scenario only"))</x:f>
        <x:v>Illustrative only - do not assign an ordinary rank</x:v>
      </x:c>
    </x:row>
    <x:row r="43">
      <x:c r="A43" s="29" t="str">
        <x:f>'Results Raw'!$A$40</x:f>
        <x:v>DUK</x:v>
      </x:c>
      <x:c r="B43" s="29" t="str">
        <x:f>'Results Raw'!$B$40</x:f>
        <x:v>Utilities</x:v>
      </x:c>
      <x:c r="C43" s="29" t="str">
        <x:f>'Results Raw'!$E$40</x:f>
        <x:v>Net Zero vs baseline</x:v>
      </x:c>
      <x:c r="D43" s="29" t="str">
        <x:f>'Results Raw'!$I$40</x:f>
        <x:v>high</x:v>
      </x:c>
      <x:c r="E43" s="31" t="n">
        <x:f>'Results Raw'!$M$40/100</x:f>
        <x:v>-1</x:v>
      </x:c>
      <x:c r="F43" s="33" t="n">
        <x:f>('Results Raw'!$O$40-'Results Raw'!$N$40)/1000000000</x:f>
        <x:v>-50.13219468306894</x:v>
      </x:c>
      <x:c r="G43" s="31" t="n">
        <x:f>IF(ABS('Results Raw'!$O$40)+ABS('Results Raw'!$N$40)=0,"",2*('Results Raw'!$O$40-'Results Raw'!$N$40)/(ABS('Results Raw'!$O$40)+ABS('Results Raw'!$N$40)))</x:f>
        <x:v>-2</x:v>
      </x:c>
      <x:c r="H43" s="31" t="n">
        <x:f>'Results Raw'!$Z$40/100</x:f>
        <x:v>-0.9669169126006397</x:v>
      </x:c>
      <x:c r="I43" s="31" t="n">
        <x:f>'Results Raw'!$AA$40/100</x:f>
        <x:v>-0.015560829896361414</x:v>
      </x:c>
      <x:c r="J43" s="31" t="n">
        <x:f>'Results Raw'!$AB$40/100</x:f>
        <x:v>-0.017522257502998777</x:v>
      </x:c>
      <x:c r="K43" s="35" t="n">
        <x:f>ABS(E43-SUM(H43:J43))</x:f>
        <x:v>1.1102230246251565e-16</x:v>
      </x:c>
      <x:c r="L43" s="37" t="n">
        <x:f>('Results Raw'!$W$40+'Results Raw'!$X$40+'Results Raw'!$Y$40)/1000000000</x:f>
        <x:v>35.90793200504535</x:v>
      </x:c>
      <x:c r="M43" s="37" t="n">
        <x:f>'Results Raw'!$R$40/1000000000</x:f>
        <x:v>-2.512681140106454</x:v>
      </x:c>
      <x:c r="N43" s="37" t="n">
        <x:f>ABS('Results Raw'!$R$40+'Results Raw'!$W$40+'Results Raw'!$X$40+'Results Raw'!$Y$40)/1000000000</x:f>
        <x:v>33.3952508649389</x:v>
      </x:c>
      <x:c r="O43" s="39" t="str">
        <x:f>IF(MIN(ABS('Results Raw'!$O$40),ABS('Results Raw'!$N$40))=0,"",MAX(ABS('Results Raw'!$O$40)/ABS('Results Raw'!$N$40),ABS('Results Raw'!$N$40)/ABS('Results Raw'!$O$40)))</x:f>
      </x:c>
      <x:c r="P43" s="41" t="n">
        <x:f>IF('Results Raw'!$AO$40="","",'Results Raw'!$AO$40/100)</x:f>
        <x:v>0.9795918367346939</x:v>
      </x:c>
      <x:c r="Q43" s="29" t="str">
        <x:f>'Results Raw'!$AP$40</x:f>
        <x:v>High</x:v>
      </x:c>
      <x:c r="R43" s="29" t="str">
        <x:f>IF(Q43="Unverified","PROXY / UNVERIFIED",IF(P43="","MISSING COVERAGE",IF(P43&lt;75%,"LIMITED COVERAGE","VERIFIED")))</x:f>
        <x:v>VERIFIED</x:v>
      </x:c>
      <x:c r="S43" s="29" t="str">
        <x:f>IF(N43&gt;0.000001,"TERMINAL FCFF FLOOR",IF(OR('Results Raw'!$BK$40=TRUE,'Results Raw'!$BL$40=TRUE),"EV FLOOR",IF(OR(O43="",O43&gt;=4),"DENOMINATOR-SENSITIVE","NORMAL")))</x:f>
        <x:v>TERMINAL FCFF FLOOR</x:v>
      </x:c>
      <x:c r="T43" s="29" t="str">
        <x:f>IF(OR(R43="PROXY / UNVERIFIED",R43="MISSING COVERAGE",S43&lt;&gt;"NORMAL"),"EXCLUDE",IF(R43="LIMITED COVERAGE","CAUTION","RANKABLE"))</x:f>
        <x:v>EXCLUDE</x:v>
      </x:c>
      <x:c r="U43" s="43" t="str">
        <x:f>IF(T43="EXCLUDE","Illustrative only - do not assign an ordinary rank",IF(T43="CAUTION","Use with facility-coverage caveat","Decision-useable within the stated scenario only"))</x:f>
        <x:v>Illustrative only - do not assign an ordinary rank</x:v>
      </x:c>
    </x:row>
    <x:row r="44">
      <x:c r="A44" s="29" t="str">
        <x:f>'Results Raw'!$A$41</x:f>
        <x:v>MSFT</x:v>
      </x:c>
      <x:c r="B44" s="29" t="str">
        <x:f>'Results Raw'!$B$41</x:f>
        <x:v>Technology</x:v>
      </x:c>
      <x:c r="C44" s="29" t="str">
        <x:f>'Results Raw'!$E$41</x:f>
        <x:v>Net Zero vs baseline</x:v>
      </x:c>
      <x:c r="D44" s="29" t="str">
        <x:f>'Results Raw'!$I$41</x:f>
        <x:v>low</x:v>
      </x:c>
      <x:c r="E44" s="31" t="n">
        <x:f>'Results Raw'!$M$41/100</x:f>
        <x:v>-0.005798128595401297</x:v>
      </x:c>
      <x:c r="F44" s="33" t="n">
        <x:f>('Results Raw'!$O$41-'Results Raw'!$N$41)/1000000000</x:f>
        <x:v>-6.126885003122925</x:v>
      </x:c>
      <x:c r="G44" s="31" t="n">
        <x:f>IF(ABS('Results Raw'!$O$41)+ABS('Results Raw'!$N$41)=0,"",2*('Results Raw'!$O$41-'Results Raw'!$N$41)/(ABS('Results Raw'!$O$41)+ABS('Results Raw'!$N$41)))</x:f>
        <x:v>-0.005814986615489912</x:v>
      </x:c>
      <x:c r="H44" s="31" t="n">
        <x:f>'Results Raw'!$Z$41/100</x:f>
        <x:v>-0.0001363788369573262</x:v>
      </x:c>
      <x:c r="I44" s="31" t="n">
        <x:f>'Results Raw'!$AA$41/100</x:f>
        <x:v>-0.0005411628605042931</x:v>
      </x:c>
      <x:c r="J44" s="31" t="n">
        <x:f>'Results Raw'!$AB$41/100</x:f>
        <x:v>-0.005120586897939718</x:v>
      </x:c>
      <x:c r="K44" s="35" t="n">
        <x:f>ABS(E44-SUM(H44:J44))</x:f>
        <x:v>3.9898639947466563e-17</x:v>
      </x:c>
      <x:c r="L44" s="37" t="n">
        <x:f>('Results Raw'!$W$41+'Results Raw'!$X$41+'Results Raw'!$Y$41)/1000000000</x:f>
        <x:v>1.4867560858815365</x:v>
      </x:c>
      <x:c r="M44" s="37" t="n">
        <x:f>'Results Raw'!$R$41/1000000000</x:f>
        <x:v>-1.4867560858815307</x:v>
      </x:c>
      <x:c r="N44" s="37" t="n">
        <x:f>ABS('Results Raw'!$R$41+'Results Raw'!$W$41+'Results Raw'!$X$41+'Results Raw'!$Y$41)/1000000000</x:f>
        <x:v>5.7220458984375e-15</x:v>
      </x:c>
      <x:c r="O44" s="39" t="n">
        <x:f>IF(MIN(ABS('Results Raw'!$O$41),ABS('Results Raw'!$N$41))=0,"",MAX(ABS('Results Raw'!$O$41)/ABS('Results Raw'!$N$41),ABS('Results Raw'!$N$41)/ABS('Results Raw'!$O$41)))</x:f>
        <x:v>1.00583194295059</x:v>
      </x:c>
      <x:c r="P44" s="41" t="str">
        <x:f>IF('Results Raw'!$AO$41="","",'Results Raw'!$AO$41/100)</x:f>
      </x:c>
      <x:c r="Q44" s="29" t="str">
        <x:f>'Results Raw'!$AP$41</x:f>
        <x:v>Unverified</x:v>
      </x:c>
      <x:c r="R44" s="29" t="str">
        <x:f>IF(Q44="Unverified","PROXY / UNVERIFIED",IF(P44="","MISSING COVERAGE",IF(P44&lt;75%,"LIMITED COVERAGE","VERIFIED")))</x:f>
        <x:v>PROXY / UNVERIFIED</x:v>
      </x:c>
      <x:c r="S44" s="29" t="str">
        <x:f>IF(N44&gt;0.000001,"TERMINAL FCFF FLOOR",IF(OR('Results Raw'!$BK$41=TRUE,'Results Raw'!$BL$41=TRUE),"EV FLOOR",IF(OR(O44="",O44&gt;=4),"DENOMINATOR-SENSITIVE","NORMAL")))</x:f>
        <x:v>NORMAL</x:v>
      </x:c>
      <x:c r="T44" s="29" t="str">
        <x:f>IF(OR(R44="PROXY / UNVERIFIED",R44="MISSING COVERAGE",S44&lt;&gt;"NORMAL"),"EXCLUDE",IF(R44="LIMITED COVERAGE","CAUTION","RANKABLE"))</x:f>
        <x:v>EXCLUDE</x:v>
      </x:c>
      <x:c r="U44" s="43" t="str">
        <x:f>IF(T44="EXCLUDE","Illustrative only - do not assign an ordinary rank",IF(T44="CAUTION","Use with facility-coverage caveat","Decision-useable within the stated scenario only"))</x:f>
        <x:v>Illustrative only - do not assign an ordinary rank</x:v>
      </x:c>
    </x:row>
    <x:row r="45">
      <x:c r="A45" s="29" t="str">
        <x:f>'Results Raw'!$A$42</x:f>
        <x:v>MSFT</x:v>
      </x:c>
      <x:c r="B45" s="29" t="str">
        <x:f>'Results Raw'!$B$42</x:f>
        <x:v>Technology</x:v>
      </x:c>
      <x:c r="C45" s="29" t="str">
        <x:f>'Results Raw'!$E$42</x:f>
        <x:v>Net Zero vs baseline</x:v>
      </x:c>
      <x:c r="D45" s="29" t="str">
        <x:f>'Results Raw'!$I$42</x:f>
        <x:v>base</x:v>
      </x:c>
      <x:c r="E45" s="31" t="n">
        <x:f>'Results Raw'!$M$42/100</x:f>
        <x:v>-0.011167168782304948</x:v>
      </x:c>
      <x:c r="F45" s="33" t="n">
        <x:f>('Results Raw'!$O$42-'Results Raw'!$N$42)/1000000000</x:f>
        <x:v>-11.800352098763794</x:v>
      </x:c>
      <x:c r="G45" s="31" t="n">
        <x:f>IF(ABS('Results Raw'!$O$42)+ABS('Results Raw'!$N$42)=0,"",2*('Results Raw'!$O$42-'Results Raw'!$N$42)/(ABS('Results Raw'!$O$42)+ABS('Results Raw'!$N$42)))</x:f>
        <x:v>-0.011229871718748374</x:v>
      </x:c>
      <x:c r="H45" s="31" t="n">
        <x:f>'Results Raw'!$Z$42/100</x:f>
        <x:v>-0.0005976346929781067</x:v>
      </x:c>
      <x:c r="I45" s="31" t="n">
        <x:f>'Results Raw'!$AA$42/100</x:f>
        <x:v>-0.001791385121429961</x:v>
      </x:c>
      <x:c r="J45" s="31" t="n">
        <x:f>'Results Raw'!$AB$42/100</x:f>
        <x:v>-0.008778148967896858</x:v>
      </x:c>
      <x:c r="K45" s="35" t="n">
        <x:f>ABS(E45-SUM(H45:J45))</x:f>
        <x:v>2.2551405187698492e-17</x:v>
      </x:c>
      <x:c r="L45" s="37" t="n">
        <x:f>('Results Raw'!$W$42+'Results Raw'!$X$42+'Results Raw'!$Y$42)/1000000000</x:f>
        <x:v>2.7361920765661334</x:v>
      </x:c>
      <x:c r="M45" s="37" t="n">
        <x:f>'Results Raw'!$R$42/1000000000</x:f>
        <x:v>-2.7361920765661316</x:v>
      </x:c>
      <x:c r="N45" s="37" t="n">
        <x:f>ABS('Results Raw'!$R$42+'Results Raw'!$W$42+'Results Raw'!$X$42+'Results Raw'!$Y$42)/1000000000</x:f>
        <x:v>1.9073486328125e-15</x:v>
      </x:c>
      <x:c r="O45" s="39" t="n">
        <x:f>IF(MIN(ABS('Results Raw'!$O$42),ABS('Results Raw'!$N$42))=0,"",MAX(ABS('Results Raw'!$O$42)/ABS('Results Raw'!$N$42),ABS('Results Raw'!$N$42)/ABS('Results Raw'!$O$42)))</x:f>
        <x:v>1.011293282777184</x:v>
      </x:c>
      <x:c r="P45" s="41" t="str">
        <x:f>IF('Results Raw'!$AO$42="","",'Results Raw'!$AO$42/100)</x:f>
      </x:c>
      <x:c r="Q45" s="29" t="str">
        <x:f>'Results Raw'!$AP$42</x:f>
        <x:v>Unverified</x:v>
      </x:c>
      <x:c r="R45" s="29" t="str">
        <x:f>IF(Q45="Unverified","PROXY / UNVERIFIED",IF(P45="","MISSING COVERAGE",IF(P45&lt;75%,"LIMITED COVERAGE","VERIFIED")))</x:f>
        <x:v>PROXY / UNVERIFIED</x:v>
      </x:c>
      <x:c r="S45" s="29" t="str">
        <x:f>IF(N45&gt;0.000001,"TERMINAL FCFF FLOOR",IF(OR('Results Raw'!$BK$42=TRUE,'Results Raw'!$BL$42=TRUE),"EV FLOOR",IF(OR(O45="",O45&gt;=4),"DENOMINATOR-SENSITIVE","NORMAL")))</x:f>
        <x:v>NORMAL</x:v>
      </x:c>
      <x:c r="T45" s="29" t="str">
        <x:f>IF(OR(R45="PROXY / UNVERIFIED",R45="MISSING COVERAGE",S45&lt;&gt;"NORMAL"),"EXCLUDE",IF(R45="LIMITED COVERAGE","CAUTION","RANKABLE"))</x:f>
        <x:v>EXCLUDE</x:v>
      </x:c>
      <x:c r="U45" s="43" t="str">
        <x:f>IF(T45="EXCLUDE","Illustrative only - do not assign an ordinary rank",IF(T45="CAUTION","Use with facility-coverage caveat","Decision-useable within the stated scenario only"))</x:f>
        <x:v>Illustrative only - do not assign an ordinary rank</x:v>
      </x:c>
    </x:row>
    <x:row r="46">
      <x:c r="A46" s="29" t="str">
        <x:f>'Results Raw'!$A$43</x:f>
        <x:v>MSFT</x:v>
      </x:c>
      <x:c r="B46" s="29" t="str">
        <x:f>'Results Raw'!$B$43</x:f>
        <x:v>Technology</x:v>
      </x:c>
      <x:c r="C46" s="29" t="str">
        <x:f>'Results Raw'!$E$43</x:f>
        <x:v>Net Zero vs baseline</x:v>
      </x:c>
      <x:c r="D46" s="29" t="str">
        <x:f>'Results Raw'!$I$43</x:f>
        <x:v>high</x:v>
      </x:c>
      <x:c r="E46" s="31" t="n">
        <x:f>'Results Raw'!$M$43/100</x:f>
        <x:v>-0.02238736493185456</x:v>
      </x:c>
      <x:c r="F46" s="33" t="n">
        <x:f>('Results Raw'!$O$43-'Results Raw'!$N$43)/1000000000</x:f>
        <x:v>-23.656738239508666</x:v>
      </x:c>
      <x:c r="G46" s="31" t="n">
        <x:f>IF(ABS('Results Raw'!$O$43)+ABS('Results Raw'!$N$43)=0,"",2*('Results Raw'!$O$43-'Results Raw'!$N$43)/(ABS('Results Raw'!$O$43)+ABS('Results Raw'!$N$43)))</x:f>
        <x:v>-0.022640798844899248</x:v>
      </x:c>
      <x:c r="H46" s="31" t="n">
        <x:f>'Results Raw'!$Z$43/100</x:f>
        <x:v>-0.0021065008390985184</x:v>
      </x:c>
      <x:c r="I46" s="31" t="n">
        <x:f>'Results Raw'!$AA$43/100</x:f>
        <x:v>-0.005650615812928072</x:v>
      </x:c>
      <x:c r="J46" s="31" t="n">
        <x:f>'Results Raw'!$AB$43/100</x:f>
        <x:v>-0.014630248279827925</x:v>
      </x:c>
      <x:c r="K46" s="35" t="n">
        <x:f>ABS(E46-SUM(H46:J46))</x:f>
        <x:v>4.163336342344337e-17</x:v>
      </x:c>
      <x:c r="L46" s="37" t="n">
        <x:f>('Results Raw'!$W$43+'Results Raw'!$X$43+'Results Raw'!$Y$43)/1000000000</x:f>
        <x:v>5.184809096279618</x:v>
      </x:c>
      <x:c r="M46" s="37" t="n">
        <x:f>'Results Raw'!$R$43/1000000000</x:f>
        <x:v>-5.184809096279618</x:v>
      </x:c>
      <x:c r="N46" s="37" t="n">
        <x:f>ABS('Results Raw'!$R$43+'Results Raw'!$W$43+'Results Raw'!$X$43+'Results Raw'!$Y$43)/1000000000</x:f>
        <x:v>0</x:v>
      </x:c>
      <x:c r="O46" s="39" t="n">
        <x:f>IF(MIN(ABS('Results Raw'!$O$43),ABS('Results Raw'!$N$43))=0,"",MAX(ABS('Results Raw'!$O$43)/ABS('Results Raw'!$N$43),ABS('Results Raw'!$N$43)/ABS('Results Raw'!$O$43)))</x:f>
        <x:v>1.0229000364037786</x:v>
      </x:c>
      <x:c r="P46" s="41" t="str">
        <x:f>IF('Results Raw'!$AO$43="","",'Results Raw'!$AO$43/100)</x:f>
      </x:c>
      <x:c r="Q46" s="29" t="str">
        <x:f>'Results Raw'!$AP$43</x:f>
        <x:v>Unverified</x:v>
      </x:c>
      <x:c r="R46" s="29" t="str">
        <x:f>IF(Q46="Unverified","PROXY / UNVERIFIED",IF(P46="","MISSING COVERAGE",IF(P46&lt;75%,"LIMITED COVERAGE","VERIFIED")))</x:f>
        <x:v>PROXY / UNVERIFIED</x:v>
      </x:c>
      <x:c r="S46" s="29" t="str">
        <x:f>IF(N46&gt;0.000001,"TERMINAL FCFF FLOOR",IF(OR('Results Raw'!$BK$43=TRUE,'Results Raw'!$BL$43=TRUE),"EV FLOOR",IF(OR(O46="",O46&gt;=4),"DENOMINATOR-SENSITIVE","NORMAL")))</x:f>
        <x:v>NORMAL</x:v>
      </x:c>
      <x:c r="T46" s="29" t="str">
        <x:f>IF(OR(R46="PROXY / UNVERIFIED",R46="MISSING COVERAGE",S46&lt;&gt;"NORMAL"),"EXCLUDE",IF(R46="LIMITED COVERAGE","CAUTION","RANKABLE"))</x:f>
        <x:v>EXCLUDE</x:v>
      </x:c>
      <x:c r="U46" s="43" t="str">
        <x:f>IF(T46="EXCLUDE","Illustrative only - do not assign an ordinary rank",IF(T46="CAUTION","Use with facility-coverage caveat","Decision-useable within the stated scenario only"))</x:f>
        <x:v>Illustrative only - do not assign an ordinary rank</x:v>
      </x:c>
    </x:row>
    <x:row r="47">
      <x:c r="A47" s="29" t="str">
        <x:f>'Results Raw'!$A$44</x:f>
        <x:v>NEE</x:v>
      </x:c>
      <x:c r="B47" s="29" t="str">
        <x:f>'Results Raw'!$B$44</x:f>
        <x:v>Utilities</x:v>
      </x:c>
      <x:c r="C47" s="29" t="str">
        <x:f>'Results Raw'!$E$44</x:f>
        <x:v>Net Zero vs baseline</x:v>
      </x:c>
      <x:c r="D47" s="29" t="str">
        <x:f>'Results Raw'!$I$44</x:f>
        <x:v>low</x:v>
      </x:c>
      <x:c r="E47" s="31" t="n">
        <x:f>'Results Raw'!$M$44/100</x:f>
        <x:v>-0.10696196870062114</x:v>
      </x:c>
      <x:c r="F47" s="33" t="n">
        <x:f>('Results Raw'!$O$44-'Results Raw'!$N$44)/1000000000</x:f>
        <x:v>-22.225329411426117</x:v>
      </x:c>
      <x:c r="G47" s="31" t="n">
        <x:f>IF(ABS('Results Raw'!$O$44)+ABS('Results Raw'!$N$44)=0,"",2*('Results Raw'!$O$44-'Results Raw'!$N$44)/(ABS('Results Raw'!$O$44)+ABS('Results Raw'!$N$44)))</x:f>
        <x:v>-0.11300562052332633</x:v>
      </x:c>
      <x:c r="H47" s="31" t="n">
        <x:f>'Results Raw'!$Z$44/100</x:f>
        <x:v>-0.09259491862451454</x:v>
      </x:c>
      <x:c r="I47" s="31" t="n">
        <x:f>'Results Raw'!$AA$44/100</x:f>
        <x:v>-0.0016543741136978937</x:v>
      </x:c>
      <x:c r="J47" s="31" t="n">
        <x:f>'Results Raw'!$AB$44/100</x:f>
        <x:v>-0.012712675962408736</x:v>
      </x:c>
      <x:c r="K47" s="35" t="n">
        <x:f>ABS(E47-SUM(H47:J47))</x:f>
        <x:v>2.7755575615628914e-17</x:v>
      </x:c>
      <x:c r="L47" s="37" t="n">
        <x:f>('Results Raw'!$W$44+'Results Raw'!$X$44+'Results Raw'!$Y$44)/1000000000</x:f>
        <x:v>1.8521773907651684</x:v>
      </x:c>
      <x:c r="M47" s="37" t="n">
        <x:f>'Results Raw'!$R$44/1000000000</x:f>
        <x:v>-1.852177390765169</x:v>
      </x:c>
      <x:c r="N47" s="37" t="n">
        <x:f>ABS('Results Raw'!$R$44+'Results Raw'!$W$44+'Results Raw'!$X$44+'Results Raw'!$Y$44)/1000000000</x:f>
        <x:v>8.344650268554687e-16</x:v>
      </x:c>
      <x:c r="O47" s="39" t="n">
        <x:f>IF(MIN(ABS('Results Raw'!$O$44),ABS('Results Raw'!$N$44))=0,"",MAX(ABS('Results Raw'!$O$44)/ABS('Results Raw'!$N$44),ABS('Results Raw'!$N$44)/ABS('Results Raw'!$O$44)))</x:f>
        <x:v>1.119773139498875</x:v>
      </x:c>
      <x:c r="P47" s="41" t="n">
        <x:f>IF('Results Raw'!$AO$44="","",'Results Raw'!$AO$44/100)</x:f>
        <x:v>0.8518518518518519</x:v>
      </x:c>
      <x:c r="Q47" s="29" t="str">
        <x:f>'Results Raw'!$AP$44</x:f>
        <x:v>High</x:v>
      </x:c>
      <x:c r="R47" s="29" t="str">
        <x:f>IF(Q47="Unverified","PROXY / UNVERIFIED",IF(P47="","MISSING COVERAGE",IF(P47&lt;75%,"LIMITED COVERAGE","VERIFIED")))</x:f>
        <x:v>VERIFIED</x:v>
      </x:c>
      <x:c r="S47" s="29" t="str">
        <x:f>IF(N47&gt;0.000001,"TERMINAL FCFF FLOOR",IF(OR('Results Raw'!$BK$44=TRUE,'Results Raw'!$BL$44=TRUE),"EV FLOOR",IF(OR(O47="",O47&gt;=4),"DENOMINATOR-SENSITIVE","NORMAL")))</x:f>
        <x:v>NORMAL</x:v>
      </x:c>
      <x:c r="T47" s="29" t="str">
        <x:f>IF(OR(R47="PROXY / UNVERIFIED",R47="MISSING COVERAGE",S47&lt;&gt;"NORMAL"),"EXCLUDE",IF(R47="LIMITED COVERAGE","CAUTION","RANKABLE"))</x:f>
        <x:v>RANKABLE</x:v>
      </x:c>
      <x:c r="U47" s="43" t="str">
        <x:f>IF(T47="EXCLUDE","Illustrative only - do not assign an ordinary rank",IF(T47="CAUTION","Use with facility-coverage caveat","Decision-useable within the stated scenario only"))</x:f>
        <x:v>Decision-useable within the stated scenario only</x:v>
      </x:c>
    </x:row>
    <x:row r="48">
      <x:c r="A48" s="29" t="str">
        <x:f>'Results Raw'!$A$45</x:f>
        <x:v>NEE</x:v>
      </x:c>
      <x:c r="B48" s="29" t="str">
        <x:f>'Results Raw'!$B$45</x:f>
        <x:v>Utilities</x:v>
      </x:c>
      <x:c r="C48" s="29" t="str">
        <x:f>'Results Raw'!$E$45</x:f>
        <x:v>Net Zero vs baseline</x:v>
      </x:c>
      <x:c r="D48" s="29" t="str">
        <x:f>'Results Raw'!$I$45</x:f>
        <x:v>base</x:v>
      </x:c>
      <x:c r="E48" s="31" t="n">
        <x:f>'Results Raw'!$M$45/100</x:f>
        <x:v>-0.3515529295786975</x:v>
      </x:c>
      <x:c r="F48" s="33" t="n">
        <x:f>('Results Raw'!$O$45-'Results Raw'!$N$45)/1000000000</x:f>
        <x:v>-73.04820358446771</x:v>
      </x:c>
      <x:c r="G48" s="31" t="n">
        <x:f>IF(ABS('Results Raw'!$O$45)+ABS('Results Raw'!$N$45)=0,"",2*('Results Raw'!$O$45-'Results Raw'!$N$45)/(ABS('Results Raw'!$O$45)+ABS('Results Raw'!$N$45)))</x:f>
        <x:v>-0.4265261965479415</x:v>
      </x:c>
      <x:c r="H48" s="31" t="n">
        <x:f>'Results Raw'!$Z$45/100</x:f>
        <x:v>-0.32487563575722656</x:v>
      </x:c>
      <x:c r="I48" s="31" t="n">
        <x:f>'Results Raw'!$AA$45/100</x:f>
        <x:v>-0.004884135028770156</x:v>
      </x:c>
      <x:c r="J48" s="31" t="n">
        <x:f>'Results Raw'!$AB$45/100</x:f>
        <x:v>-0.021793158792700735</x:v>
      </x:c>
      <x:c r="K48" s="35" t="n">
        <x:f>ABS(E48-SUM(H48:J48))</x:f>
        <x:v>5.551115123125783e-17</x:v>
      </x:c>
      <x:c r="L48" s="37" t="n">
        <x:f>('Results Raw'!$W$45+'Results Raw'!$X$45+'Results Raw'!$Y$45)/1000000000</x:f>
        <x:v>6.900452418167284</x:v>
      </x:c>
      <x:c r="M48" s="37" t="n">
        <x:f>'Results Raw'!$R$45/1000000000</x:f>
        <x:v>-6.900452418167284</x:v>
      </x:c>
      <x:c r="N48" s="37" t="n">
        <x:f>ABS('Results Raw'!$R$45+'Results Raw'!$W$45+'Results Raw'!$X$45+'Results Raw'!$Y$45)/1000000000</x:f>
        <x:v>2.384185791015625e-16</x:v>
      </x:c>
      <x:c r="O48" s="39" t="n">
        <x:f>IF(MIN(ABS('Results Raw'!$O$45),ABS('Results Raw'!$N$45))=0,"",MAX(ABS('Results Raw'!$O$45)/ABS('Results Raw'!$N$45),ABS('Results Raw'!$N$45)/ABS('Results Raw'!$O$45)))</x:f>
        <x:v>1.542145913852753</x:v>
      </x:c>
      <x:c r="P48" s="41" t="n">
        <x:f>IF('Results Raw'!$AO$45="","",'Results Raw'!$AO$45/100)</x:f>
        <x:v>0.8518518518518519</x:v>
      </x:c>
      <x:c r="Q48" s="29" t="str">
        <x:f>'Results Raw'!$AP$45</x:f>
        <x:v>High</x:v>
      </x:c>
      <x:c r="R48" s="29" t="str">
        <x:f>IF(Q48="Unverified","PROXY / UNVERIFIED",IF(P48="","MISSING COVERAGE",IF(P48&lt;75%,"LIMITED COVERAGE","VERIFIED")))</x:f>
        <x:v>VERIFIED</x:v>
      </x:c>
      <x:c r="S48" s="29" t="str">
        <x:f>IF(N48&gt;0.000001,"TERMINAL FCFF FLOOR",IF(OR('Results Raw'!$BK$45=TRUE,'Results Raw'!$BL$45=TRUE),"EV FLOOR",IF(OR(O48="",O48&gt;=4),"DENOMINATOR-SENSITIVE","NORMAL")))</x:f>
        <x:v>NORMAL</x:v>
      </x:c>
      <x:c r="T48" s="29" t="str">
        <x:f>IF(OR(R48="PROXY / UNVERIFIED",R48="MISSING COVERAGE",S48&lt;&gt;"NORMAL"),"EXCLUDE",IF(R48="LIMITED COVERAGE","CAUTION","RANKABLE"))</x:f>
        <x:v>RANKABLE</x:v>
      </x:c>
      <x:c r="U48" s="43" t="str">
        <x:f>IF(T48="EXCLUDE","Illustrative only - do not assign an ordinary rank",IF(T48="CAUTION","Use with facility-coverage caveat","Decision-useable within the stated scenario only"))</x:f>
        <x:v>Decision-useable within the stated scenario only</x:v>
      </x:c>
    </x:row>
    <x:row r="49">
      <x:c r="A49" s="29" t="str">
        <x:f>'Results Raw'!$A$46</x:f>
        <x:v>NEE</x:v>
      </x:c>
      <x:c r="B49" s="29" t="str">
        <x:f>'Results Raw'!$B$46</x:f>
        <x:v>Utilities</x:v>
      </x:c>
      <x:c r="C49" s="29" t="str">
        <x:f>'Results Raw'!$E$46</x:f>
        <x:v>Net Zero vs baseline</x:v>
      </x:c>
      <x:c r="D49" s="29" t="str">
        <x:f>'Results Raw'!$I$46</x:f>
        <x:v>high</x:v>
      </x:c>
      <x:c r="E49" s="31" t="n">
        <x:f>'Results Raw'!$M$46/100</x:f>
        <x:v>-0.799289171739135</x:v>
      </x:c>
      <x:c r="F49" s="33" t="n">
        <x:f>('Results Raw'!$O$46-'Results Raw'!$N$46)/1000000000</x:f>
        <x:v>-166.0820696616914</x:v>
      </x:c>
      <x:c r="G49" s="31" t="n">
        <x:f>IF(ABS('Results Raw'!$O$46)+ABS('Results Raw'!$N$46)=0,"",2*('Results Raw'!$O$46-'Results Raw'!$N$46)/(ABS('Results Raw'!$O$46)+ABS('Results Raw'!$N$46)))</x:f>
        <x:v>-1.331359979316323</x:v>
      </x:c>
      <x:c r="H49" s="31" t="n">
        <x:f>'Results Raw'!$Z$46/100</x:f>
        <x:v>-0.7678744932405032</x:v>
      </x:c>
      <x:c r="I49" s="31" t="n">
        <x:f>'Results Raw'!$AA$46/100</x:f>
        <x:v>-0.008184031414075494</x:v>
      </x:c>
      <x:c r="J49" s="31" t="n">
        <x:f>'Results Raw'!$AB$46/100</x:f>
        <x:v>-0.023230647084556532</x:v>
      </x:c>
      <x:c r="K49" s="35" t="n">
        <x:f>ABS(E49-SUM(H49:J49))</x:f>
        <x:v>2.220446049250313e-16</x:v>
      </x:c>
      <x:c r="L49" s="37" t="n">
        <x:f>('Results Raw'!$W$46+'Results Raw'!$X$46+'Results Raw'!$Y$46)/1000000000</x:f>
        <x:v>20.526008512112107</x:v>
      </x:c>
      <x:c r="M49" s="37" t="n">
        <x:f>'Results Raw'!$R$46/1000000000</x:f>
        <x:v>-16.20826848595464</x:v>
      </x:c>
      <x:c r="N49" s="37" t="n">
        <x:f>ABS('Results Raw'!$R$46+'Results Raw'!$W$46+'Results Raw'!$X$46+'Results Raw'!$Y$46)/1000000000</x:f>
        <x:v>4.317740026157464</x:v>
      </x:c>
      <x:c r="O49" s="39" t="n">
        <x:f>IF(MIN(ABS('Results Raw'!$O$46),ABS('Results Raw'!$N$46))=0,"",MAX(ABS('Results Raw'!$O$46)/ABS('Results Raw'!$N$46),ABS('Results Raw'!$N$46)/ABS('Results Raw'!$O$46)))</x:f>
        <x:v>4.9822922293972844</x:v>
      </x:c>
      <x:c r="P49" s="41" t="n">
        <x:f>IF('Results Raw'!$AO$46="","",'Results Raw'!$AO$46/100)</x:f>
        <x:v>0.8518518518518519</x:v>
      </x:c>
      <x:c r="Q49" s="29" t="str">
        <x:f>'Results Raw'!$AP$46</x:f>
        <x:v>High</x:v>
      </x:c>
      <x:c r="R49" s="29" t="str">
        <x:f>IF(Q49="Unverified","PROXY / UNVERIFIED",IF(P49="","MISSING COVERAGE",IF(P49&lt;75%,"LIMITED COVERAGE","VERIFIED")))</x:f>
        <x:v>VERIFIED</x:v>
      </x:c>
      <x:c r="S49" s="29" t="str">
        <x:f>IF(N49&gt;0.000001,"TERMINAL FCFF FLOOR",IF(OR('Results Raw'!$BK$46=TRUE,'Results Raw'!$BL$46=TRUE),"EV FLOOR",IF(OR(O49="",O49&gt;=4),"DENOMINATOR-SENSITIVE","NORMAL")))</x:f>
        <x:v>TERMINAL FCFF FLOOR</x:v>
      </x:c>
      <x:c r="T49" s="29" t="str">
        <x:f>IF(OR(R49="PROXY / UNVERIFIED",R49="MISSING COVERAGE",S49&lt;&gt;"NORMAL"),"EXCLUDE",IF(R49="LIMITED COVERAGE","CAUTION","RANKABLE"))</x:f>
        <x:v>EXCLUDE</x:v>
      </x:c>
      <x:c r="U49" s="43" t="str">
        <x:f>IF(T49="EXCLUDE","Illustrative only - do not assign an ordinary rank",IF(T49="CAUTION","Use with facility-coverage caveat","Decision-useable within the stated scenario only"))</x:f>
        <x:v>Illustrative only - do not assign an ordinary rank</x:v>
      </x:c>
    </x:row>
    <x:row r="50">
      <x:c r="A50" s="29" t="str">
        <x:f>'Results Raw'!$A$47</x:f>
        <x:v>XOM</x:v>
      </x:c>
      <x:c r="B50" s="29" t="str">
        <x:f>'Results Raw'!$B$47</x:f>
        <x:v>Energy</x:v>
      </x:c>
      <x:c r="C50" s="29" t="str">
        <x:f>'Results Raw'!$E$47</x:f>
        <x:v>Net Zero vs baseline</x:v>
      </x:c>
      <x:c r="D50" s="29" t="str">
        <x:f>'Results Raw'!$I$47</x:f>
        <x:v>low</x:v>
      </x:c>
      <x:c r="E50" s="31" t="n">
        <x:f>'Results Raw'!$M$47/100</x:f>
        <x:v>-0.1062571253116723</x:v>
      </x:c>
      <x:c r="F50" s="33" t="n">
        <x:f>('Results Raw'!$O$47-'Results Raw'!$N$47)/1000000000</x:f>
        <x:v>-71.89445605111658</x:v>
      </x:c>
      <x:c r="G50" s="31" t="n">
        <x:f>IF(ABS('Results Raw'!$O$47)+ABS('Results Raw'!$N$47)=0,"",2*('Results Raw'!$O$47-'Results Raw'!$N$47)/(ABS('Results Raw'!$O$47)+ABS('Results Raw'!$N$47)))</x:f>
        <x:v>-0.11221916843294796</x:v>
      </x:c>
      <x:c r="H50" s="31" t="n">
        <x:f>'Results Raw'!$Z$47/100</x:f>
        <x:v>-0.09776044820928127</x:v>
      </x:c>
      <x:c r="I50" s="31" t="n">
        <x:f>'Results Raw'!$AA$47/100</x:f>
        <x:v>-0.001044879995081348</x:v>
      </x:c>
      <x:c r="J50" s="31" t="n">
        <x:f>'Results Raw'!$AB$47/100</x:f>
        <x:v>-0.007451797107309628</x:v>
      </x:c>
      <x:c r="K50" s="35" t="n">
        <x:f>ABS(E50-SUM(H50:J50))</x:f>
        <x:v>5.551115123125783e-17</x:v>
      </x:c>
      <x:c r="L50" s="37" t="n">
        <x:f>('Results Raw'!$W$47+'Results Raw'!$X$47+'Results Raw'!$Y$47)/1000000000</x:f>
        <x:v>4.118256772627952</x:v>
      </x:c>
      <x:c r="M50" s="37" t="n">
        <x:f>'Results Raw'!$R$47/1000000000</x:f>
        <x:v>-4.118256772627952</x:v>
      </x:c>
      <x:c r="N50" s="37" t="n">
        <x:f>ABS('Results Raw'!$R$47+'Results Raw'!$W$47+'Results Raw'!$X$47+'Results Raw'!$Y$47)/1000000000</x:f>
        <x:v>3.5762786865234375e-16</x:v>
      </x:c>
      <x:c r="O50" s="39" t="n">
        <x:f>IF(MIN(ABS('Results Raw'!$O$47),ABS('Results Raw'!$N$47))=0,"",MAX(ABS('Results Raw'!$O$47)/ABS('Results Raw'!$N$47),ABS('Results Raw'!$N$47)/ABS('Results Raw'!$O$47)))</x:f>
        <x:v>1.1188900390939922</x:v>
      </x:c>
      <x:c r="P50" s="41" t="n">
        <x:f>IF('Results Raw'!$AO$47="","",'Results Raw'!$AO$47/100)</x:f>
        <x:v>0.7205882352941176</x:v>
      </x:c>
      <x:c r="Q50" s="29" t="str">
        <x:f>'Results Raw'!$AP$47</x:f>
        <x:v>Medium</x:v>
      </x:c>
      <x:c r="R50" s="29" t="str">
        <x:f>IF(Q50="Unverified","PROXY / UNVERIFIED",IF(P50="","MISSING COVERAGE",IF(P50&lt;75%,"LIMITED COVERAGE","VERIFIED")))</x:f>
        <x:v>LIMITED COVERAGE</x:v>
      </x:c>
      <x:c r="S50" s="29" t="str">
        <x:f>IF(N50&gt;0.000001,"TERMINAL FCFF FLOOR",IF(OR('Results Raw'!$BK$47=TRUE,'Results Raw'!$BL$47=TRUE),"EV FLOOR",IF(OR(O50="",O50&gt;=4),"DENOMINATOR-SENSITIVE","NORMAL")))</x:f>
        <x:v>NORMAL</x:v>
      </x:c>
      <x:c r="T50" s="29" t="str">
        <x:f>IF(OR(R50="PROXY / UNVERIFIED",R50="MISSING COVERAGE",S50&lt;&gt;"NORMAL"),"EXCLUDE",IF(R50="LIMITED COVERAGE","CAUTION","RANKABLE"))</x:f>
        <x:v>CAUTION</x:v>
      </x:c>
      <x:c r="U50" s="43" t="str">
        <x:f>IF(T50="EXCLUDE","Illustrative only - do not assign an ordinary rank",IF(T50="CAUTION","Use with facility-coverage caveat","Decision-useable within the stated scenario only"))</x:f>
        <x:v>Use with facility-coverage caveat</x:v>
      </x:c>
    </x:row>
    <x:row r="51">
      <x:c r="A51" s="29" t="str">
        <x:f>'Results Raw'!$A$48</x:f>
        <x:v>XOM</x:v>
      </x:c>
      <x:c r="B51" s="29" t="str">
        <x:f>'Results Raw'!$B$48</x:f>
        <x:v>Energy</x:v>
      </x:c>
      <x:c r="C51" s="29" t="str">
        <x:f>'Results Raw'!$E$48</x:f>
        <x:v>Net Zero vs baseline</x:v>
      </x:c>
      <x:c r="D51" s="29" t="str">
        <x:f>'Results Raw'!$I$48</x:f>
        <x:v>base</x:v>
      </x:c>
      <x:c r="E51" s="31" t="n">
        <x:f>'Results Raw'!$M$48/100</x:f>
        <x:v>-0.3799538072621409</x:v>
      </x:c>
      <x:c r="F51" s="33" t="n">
        <x:f>('Results Raw'!$O$48-'Results Raw'!$N$48)/1000000000</x:f>
        <x:v>-257.07991080633633</x:v>
      </x:c>
      <x:c r="G51" s="31" t="n">
        <x:f>IF(ABS('Results Raw'!$O$48)+ABS('Results Raw'!$N$48)=0,"",2*('Results Raw'!$O$48-'Results Raw'!$N$48)/(ABS('Results Raw'!$O$48)+ABS('Results Raw'!$N$48)))</x:f>
        <x:v>-0.46906539945015197</x:v>
      </x:c>
      <x:c r="H51" s="31" t="n">
        <x:f>'Results Raw'!$Z$48/100</x:f>
        <x:v>-0.3639879280063305</x:v>
      </x:c>
      <x:c r="I51" s="31" t="n">
        <x:f>'Results Raw'!$AA$48/100</x:f>
        <x:v>-0.0031913699289937737</x:v>
      </x:c>
      <x:c r="J51" s="31" t="n">
        <x:f>'Results Raw'!$AB$48/100</x:f>
        <x:v>-0.012774509326816537</x:v>
      </x:c>
      <x:c r="K51" s="35" t="n">
        <x:f>ABS(E51-SUM(H51:J51))</x:f>
        <x:v>5.551115123125783e-17</x:v>
      </x:c>
      <x:c r="L51" s="37" t="n">
        <x:f>('Results Raw'!$W$48+'Results Raw'!$X$48+'Results Raw'!$Y$48)/1000000000</x:f>
        <x:v>16.588221044064053</x:v>
      </x:c>
      <x:c r="M51" s="37" t="n">
        <x:f>'Results Raw'!$R$48/1000000000</x:f>
        <x:v>-16.588221044064053</x:v>
      </x:c>
      <x:c r="N51" s="37" t="n">
        <x:f>ABS('Results Raw'!$R$48+'Results Raw'!$W$48+'Results Raw'!$X$48+'Results Raw'!$Y$48)/1000000000</x:f>
        <x:v>1.1920928955078126e-16</x:v>
      </x:c>
      <x:c r="O51" s="39" t="n">
        <x:f>IF(MIN(ABS('Results Raw'!$O$48),ABS('Results Raw'!$N$48))=0,"",MAX(ABS('Results Raw'!$O$48)/ABS('Results Raw'!$N$48),ABS('Results Raw'!$N$48)/ABS('Results Raw'!$O$48)))</x:f>
        <x:v>1.6127830663461171</x:v>
      </x:c>
      <x:c r="P51" s="41" t="n">
        <x:f>IF('Results Raw'!$AO$48="","",'Results Raw'!$AO$48/100)</x:f>
        <x:v>0.7205882352941176</x:v>
      </x:c>
      <x:c r="Q51" s="29" t="str">
        <x:f>'Results Raw'!$AP$48</x:f>
        <x:v>Medium</x:v>
      </x:c>
      <x:c r="R51" s="29" t="str">
        <x:f>IF(Q51="Unverified","PROXY / UNVERIFIED",IF(P51="","MISSING COVERAGE",IF(P51&lt;75%,"LIMITED COVERAGE","VERIFIED")))</x:f>
        <x:v>LIMITED COVERAGE</x:v>
      </x:c>
      <x:c r="S51" s="29" t="str">
        <x:f>IF(N51&gt;0.000001,"TERMINAL FCFF FLOOR",IF(OR('Results Raw'!$BK$48=TRUE,'Results Raw'!$BL$48=TRUE),"EV FLOOR",IF(OR(O51="",O51&gt;=4),"DENOMINATOR-SENSITIVE","NORMAL")))</x:f>
        <x:v>NORMAL</x:v>
      </x:c>
      <x:c r="T51" s="29" t="str">
        <x:f>IF(OR(R51="PROXY / UNVERIFIED",R51="MISSING COVERAGE",S51&lt;&gt;"NORMAL"),"EXCLUDE",IF(R51="LIMITED COVERAGE","CAUTION","RANKABLE"))</x:f>
        <x:v>CAUTION</x:v>
      </x:c>
      <x:c r="U51" s="43" t="str">
        <x:f>IF(T51="EXCLUDE","Illustrative only - do not assign an ordinary rank",IF(T51="CAUTION","Use with facility-coverage caveat","Decision-useable within the stated scenario only"))</x:f>
        <x:v>Use with facility-coverage caveat</x:v>
      </x:c>
    </x:row>
    <x:row r="52">
      <x:c r="A52" s="29" t="str">
        <x:f>'Results Raw'!$A$49</x:f>
        <x:v>XOM</x:v>
      </x:c>
      <x:c r="B52" s="29" t="str">
        <x:f>'Results Raw'!$B$49</x:f>
        <x:v>Energy</x:v>
      </x:c>
      <x:c r="C52" s="29" t="str">
        <x:f>'Results Raw'!$E$49</x:f>
        <x:v>Net Zero vs baseline</x:v>
      </x:c>
      <x:c r="D52" s="29" t="str">
        <x:f>'Results Raw'!$I$49</x:f>
        <x:v>high</x:v>
      </x:c>
      <x:c r="E52" s="31" t="n">
        <x:f>'Results Raw'!$M$49/100</x:f>
        <x:v>-0.8576780622175432</x:v>
      </x:c>
      <x:c r="F52" s="33" t="n">
        <x:f>('Results Raw'!$O$49-'Results Raw'!$N$49)/1000000000</x:f>
        <x:v>-580.3121208976695</x:v>
      </x:c>
      <x:c r="G52" s="31" t="n">
        <x:f>IF(ABS('Results Raw'!$O$49)+ABS('Results Raw'!$N$49)=0,"",2*('Results Raw'!$O$49-'Results Raw'!$N$49)/(ABS('Results Raw'!$O$49)+ABS('Results Raw'!$N$49)))</x:f>
        <x:v>-1.501639833482527</x:v>
      </x:c>
      <x:c r="H52" s="31" t="n">
        <x:f>'Results Raw'!$Z$49/100</x:f>
        <x:v>-0.8392874834641275</x:v>
      </x:c>
      <x:c r="I52" s="31" t="n">
        <x:f>'Results Raw'!$AA$49/100</x:f>
        <x:v>-0.005660491492106192</x:v>
      </x:c>
      <x:c r="J52" s="31" t="n">
        <x:f>'Results Raw'!$AB$49/100</x:f>
        <x:v>-0.012730087261309253</x:v>
      </x:c>
      <x:c r="K52" s="35" t="n">
        <x:f>ABS(E52-SUM(H52:J52))</x:f>
        <x:v>1.1102230246251565e-16</x:v>
      </x:c>
      <x:c r="L52" s="37" t="n">
        <x:f>('Results Raw'!$W$49+'Results Raw'!$X$49+'Results Raw'!$Y$49)/1000000000</x:f>
        <x:v>51.80993967488873</x:v>
      </x:c>
      <x:c r="M52" s="37" t="n">
        <x:f>'Results Raw'!$R$49/1000000000</x:f>
        <x:v>-37.5624275669594</x:v>
      </x:c>
      <x:c r="N52" s="37" t="n">
        <x:f>ABS('Results Raw'!$R$49+'Results Raw'!$W$49+'Results Raw'!$X$49+'Results Raw'!$Y$49)/1000000000</x:f>
        <x:v>14.247512107929335</x:v>
      </x:c>
      <x:c r="O52" s="39" t="n">
        <x:f>IF(MIN(ABS('Results Raw'!$O$49),ABS('Results Raw'!$N$49))=0,"",MAX(ABS('Results Raw'!$O$49)/ABS('Results Raw'!$N$49),ABS('Results Raw'!$N$49)/ABS('Results Raw'!$O$49)))</x:f>
        <x:v>7.026323668586697</x:v>
      </x:c>
      <x:c r="P52" s="41" t="n">
        <x:f>IF('Results Raw'!$AO$49="","",'Results Raw'!$AO$49/100)</x:f>
        <x:v>0.7205882352941176</x:v>
      </x:c>
      <x:c r="Q52" s="29" t="str">
        <x:f>'Results Raw'!$AP$49</x:f>
        <x:v>Medium</x:v>
      </x:c>
      <x:c r="R52" s="29" t="str">
        <x:f>IF(Q52="Unverified","PROXY / UNVERIFIED",IF(P52="","MISSING COVERAGE",IF(P52&lt;75%,"LIMITED COVERAGE","VERIFIED")))</x:f>
        <x:v>LIMITED COVERAGE</x:v>
      </x:c>
      <x:c r="S52" s="29" t="str">
        <x:f>IF(N52&gt;0.000001,"TERMINAL FCFF FLOOR",IF(OR('Results Raw'!$BK$49=TRUE,'Results Raw'!$BL$49=TRUE),"EV FLOOR",IF(OR(O52="",O52&gt;=4),"DENOMINATOR-SENSITIVE","NORMAL")))</x:f>
        <x:v>TERMINAL FCFF FLOOR</x:v>
      </x:c>
      <x:c r="T52" s="29" t="str">
        <x:f>IF(OR(R52="PROXY / UNVERIFIED",R52="MISSING COVERAGE",S52&lt;&gt;"NORMAL"),"EXCLUDE",IF(R52="LIMITED COVERAGE","CAUTION","RANKABLE"))</x:f>
        <x:v>EXCLUDE</x:v>
      </x:c>
      <x:c r="U52" s="43" t="str">
        <x:f>IF(T52="EXCLUDE","Illustrative only - do not assign an ordinary rank",IF(T52="CAUTION","Use with facility-coverage caveat","Decision-useable within the stated scenario only"))</x:f>
        <x:v>Illustrative only - do not assign an ordinary rank</x:v>
      </x:c>
    </x:row>
    <x:row r="53">
      <x:c r="A53" s="29" t="str">
        <x:f>'Results Raw'!$A$50</x:f>
        <x:v>AAPL</x:v>
      </x:c>
      <x:c r="B53" s="29" t="str">
        <x:f>'Results Raw'!$B$50</x:f>
        <x:v>Technology</x:v>
      </x:c>
      <x:c r="C53" s="29" t="str">
        <x:f>'Results Raw'!$E$50</x:f>
        <x:v>Below 2°C vs CP</x:v>
      </x:c>
      <x:c r="D53" s="29" t="str">
        <x:f>'Results Raw'!$I$50</x:f>
        <x:v>low</x:v>
      </x:c>
      <x:c r="E53" s="31" t="n">
        <x:f>'Results Raw'!$M$50/100</x:f>
        <x:v>0.00021811744638133845</x:v>
      </x:c>
      <x:c r="F53" s="33" t="n">
        <x:f>('Results Raw'!$O$50-'Results Raw'!$N$50)/1000000000</x:f>
        <x:v>0.32885966566235353</x:v>
      </x:c>
      <x:c r="G53" s="31" t="n">
        <x:f>IF(ABS('Results Raw'!$O$50)+ABS('Results Raw'!$N$50)=0,"",2*('Results Raw'!$O$50-'Results Raw'!$N$50)/(ABS('Results Raw'!$O$50)+ABS('Results Raw'!$N$50)))</x:f>
        <x:v>0.00021809366136513842</x:v>
      </x:c>
      <x:c r="H53" s="31" t="n">
        <x:f>'Results Raw'!$Z$50/100</x:f>
        <x:v>-0.0000134464710254095</x:v>
      </x:c>
      <x:c r="I53" s="31" t="n">
        <x:f>'Results Raw'!$AA$50/100</x:f>
        <x:v>0.000013043167051469764</x:v>
      </x:c>
      <x:c r="J53" s="31" t="n">
        <x:f>'Results Raw'!$AB$50/100</x:f>
        <x:v>0.00021852075035532268</x:v>
      </x:c>
      <x:c r="K53" s="35" t="n">
        <x:f>ABS(E53-SUM(H53:J53))</x:f>
        <x:v>4.447939412621782e-17</x:v>
      </x:c>
      <x:c r="L53" s="37" t="n">
        <x:f>('Results Raw'!$W$50+'Results Raw'!$X$50+'Results Raw'!$Y$50)/1000000000</x:f>
        <x:v>-0.08637323821453718</x:v>
      </x:c>
      <x:c r="M53" s="37" t="n">
        <x:f>'Results Raw'!$R$50/1000000000</x:f>
        <x:v>0.08637323821453857</x:v>
      </x:c>
      <x:c r="N53" s="37" t="n">
        <x:f>ABS('Results Raw'!$R$50+'Results Raw'!$W$50+'Results Raw'!$X$50+'Results Raw'!$Y$50)/1000000000</x:f>
        <x:v>1.385807991027832e-15</x:v>
      </x:c>
      <x:c r="O53" s="39" t="n">
        <x:f>IF(MIN(ABS('Results Raw'!$O$50),ABS('Results Raw'!$N$50))=0,"",MAX(ABS('Results Raw'!$O$50)/ABS('Results Raw'!$N$50),ABS('Results Raw'!$N$50)/ABS('Results Raw'!$O$50)))</x:f>
        <x:v>1.0002181174463813</x:v>
      </x:c>
      <x:c r="P53" s="41" t="str">
        <x:f>IF('Results Raw'!$AO$50="","",'Results Raw'!$AO$50/100)</x:f>
      </x:c>
      <x:c r="Q53" s="29" t="str">
        <x:f>'Results Raw'!$AP$50</x:f>
        <x:v>Unverified</x:v>
      </x:c>
      <x:c r="R53" s="29" t="str">
        <x:f>IF(Q53="Unverified","PROXY / UNVERIFIED",IF(P53="","MISSING COVERAGE",IF(P53&lt;75%,"LIMITED COVERAGE","VERIFIED")))</x:f>
        <x:v>PROXY / UNVERIFIED</x:v>
      </x:c>
      <x:c r="S53" s="29" t="str">
        <x:f>IF(N53&gt;0.000001,"TERMINAL FCFF FLOOR",IF(OR('Results Raw'!$BK$50=TRUE,'Results Raw'!$BL$50=TRUE),"EV FLOOR",IF(OR(O53="",O53&gt;=4),"DENOMINATOR-SENSITIVE","NORMAL")))</x:f>
        <x:v>NORMAL</x:v>
      </x:c>
      <x:c r="T53" s="29" t="str">
        <x:f>IF(OR(R53="PROXY / UNVERIFIED",R53="MISSING COVERAGE",S53&lt;&gt;"NORMAL"),"EXCLUDE",IF(R53="LIMITED COVERAGE","CAUTION","RANKABLE"))</x:f>
        <x:v>EXCLUDE</x:v>
      </x:c>
      <x:c r="U53" s="43" t="str">
        <x:f>IF(T53="EXCLUDE","Illustrative only - do not assign an ordinary rank",IF(T53="CAUTION","Use with facility-coverage caveat","Decision-useable within the stated scenario only"))</x:f>
        <x:v>Illustrative only - do not assign an ordinary rank</x:v>
      </x:c>
    </x:row>
    <x:row r="54">
      <x:c r="A54" s="29" t="str">
        <x:f>'Results Raw'!$A$51</x:f>
        <x:v>AAPL</x:v>
      </x:c>
      <x:c r="B54" s="29" t="str">
        <x:f>'Results Raw'!$B$51</x:f>
        <x:v>Technology</x:v>
      </x:c>
      <x:c r="C54" s="29" t="str">
        <x:f>'Results Raw'!$E$51</x:f>
        <x:v>Below 2°C vs CP</x:v>
      </x:c>
      <x:c r="D54" s="29" t="str">
        <x:f>'Results Raw'!$I$51</x:f>
        <x:v>base</x:v>
      </x:c>
      <x:c r="E54" s="31" t="n">
        <x:f>'Results Raw'!$M$51/100</x:f>
        <x:v>0.0003618869003534364</x:v>
      </x:c>
      <x:c r="F54" s="33" t="n">
        <x:f>('Results Raw'!$O$51-'Results Raw'!$N$51)/1000000000</x:f>
        <x:v>0.5440815966162109</x:v>
      </x:c>
      <x:c r="G54" s="31" t="n">
        <x:f>IF(ABS('Results Raw'!$O$51)+ABS('Results Raw'!$N$51)=0,"",2*('Results Raw'!$O$51-'Results Raw'!$N$51)/(ABS('Results Raw'!$O$51)+ABS('Results Raw'!$N$51)))</x:f>
        <x:v>0.0003618214311353793</x:v>
      </x:c>
      <x:c r="H54" s="31" t="n">
        <x:f>'Results Raw'!$Z$51/100</x:f>
        <x:v>-0.00005651178089313839</x:v>
      </x:c>
      <x:c r="I54" s="31" t="n">
        <x:f>'Results Raw'!$AA$51/100</x:f>
        <x:v>0.000042730059083502684</x:v>
      </x:c>
      <x:c r="J54" s="31" t="n">
        <x:f>'Results Raw'!$AB$51/100</x:f>
        <x:v>0.0003756686221631125</x:v>
      </x:c>
      <x:c r="K54" s="35" t="n">
        <x:f>ABS(E54-SUM(H54:J54))</x:f>
        <x:v>4.038653092508504e-17</x:v>
      </x:c>
      <x:c r="L54" s="37" t="n">
        <x:f>('Results Raw'!$W$51+'Results Raw'!$X$51+'Results Raw'!$Y$51)/1000000000</x:f>
        <x:v>-0.1509753264450581</x:v>
      </x:c>
      <x:c r="M54" s="37" t="n">
        <x:f>'Results Raw'!$R$51/1000000000</x:f>
        <x:v>0.15097532644506836</x:v>
      </x:c>
      <x:c r="N54" s="37" t="n">
        <x:f>ABS('Results Raw'!$R$51+'Results Raw'!$W$51+'Results Raw'!$X$51+'Results Raw'!$Y$51)/1000000000</x:f>
        <x:v>1.0251998901367188e-14</x:v>
      </x:c>
      <x:c r="O54" s="39" t="n">
        <x:f>IF(MIN(ABS('Results Raw'!$O$51),ABS('Results Raw'!$N$51))=0,"",MAX(ABS('Results Raw'!$O$51)/ABS('Results Raw'!$N$51),ABS('Results Raw'!$N$51)/ABS('Results Raw'!$O$51)))</x:f>
        <x:v>1.0003618869003534</x:v>
      </x:c>
      <x:c r="P54" s="41" t="str">
        <x:f>IF('Results Raw'!$AO$51="","",'Results Raw'!$AO$51/100)</x:f>
      </x:c>
      <x:c r="Q54" s="29" t="str">
        <x:f>'Results Raw'!$AP$51</x:f>
        <x:v>Unverified</x:v>
      </x:c>
      <x:c r="R54" s="29" t="str">
        <x:f>IF(Q54="Unverified","PROXY / UNVERIFIED",IF(P54="","MISSING COVERAGE",IF(P54&lt;75%,"LIMITED COVERAGE","VERIFIED")))</x:f>
        <x:v>PROXY / UNVERIFIED</x:v>
      </x:c>
      <x:c r="S54" s="29" t="str">
        <x:f>IF(N54&gt;0.000001,"TERMINAL FCFF FLOOR",IF(OR('Results Raw'!$BK$51=TRUE,'Results Raw'!$BL$51=TRUE),"EV FLOOR",IF(OR(O54="",O54&gt;=4),"DENOMINATOR-SENSITIVE","NORMAL")))</x:f>
        <x:v>NORMAL</x:v>
      </x:c>
      <x:c r="T54" s="29" t="str">
        <x:f>IF(OR(R54="PROXY / UNVERIFIED",R54="MISSING COVERAGE",S54&lt;&gt;"NORMAL"),"EXCLUDE",IF(R54="LIMITED COVERAGE","CAUTION","RANKABLE"))</x:f>
        <x:v>EXCLUDE</x:v>
      </x:c>
      <x:c r="U54" s="43" t="str">
        <x:f>IF(T54="EXCLUDE","Illustrative only - do not assign an ordinary rank",IF(T54="CAUTION","Use with facility-coverage caveat","Decision-useable within the stated scenario only"))</x:f>
        <x:v>Illustrative only - do not assign an ordinary rank</x:v>
      </x:c>
    </x:row>
    <x:row r="55">
      <x:c r="A55" s="29" t="str">
        <x:f>'Results Raw'!$A$52</x:f>
        <x:v>AAPL</x:v>
      </x:c>
      <x:c r="B55" s="29" t="str">
        <x:f>'Results Raw'!$B$52</x:f>
        <x:v>Technology</x:v>
      </x:c>
      <x:c r="C55" s="29" t="str">
        <x:f>'Results Raw'!$E$52</x:f>
        <x:v>Below 2°C vs CP</x:v>
      </x:c>
      <x:c r="D55" s="29" t="str">
        <x:f>'Results Raw'!$I$52</x:f>
        <x:v>high</x:v>
      </x:c>
      <x:c r="E55" s="31" t="n">
        <x:f>'Results Raw'!$M$52/100</x:f>
        <x:v>0.0005581092689785905</x:v>
      </x:c>
      <x:c r="F55" s="33" t="n">
        <x:f>('Results Raw'!$O$52-'Results Raw'!$N$52)/1000000000</x:f>
        <x:v>0.8336598752675781</x:v>
      </x:c>
      <x:c r="G55" s="31" t="n">
        <x:f>IF(ABS('Results Raw'!$O$52)+ABS('Results Raw'!$N$52)=0,"",2*('Results Raw'!$O$52-'Results Raw'!$N$52)/(ABS('Results Raw'!$O$52)+ABS('Results Raw'!$N$52)))</x:f>
        <x:v>0.0005579535694491649</x:v>
      </x:c>
      <x:c r="H55" s="31" t="n">
        <x:f>'Results Raw'!$Z$52/100</x:f>
        <x:v>-0.0002039753574039804</x:v>
      </x:c>
      <x:c r="I55" s="31" t="n">
        <x:f>'Results Raw'!$AA$52/100</x:f>
        <x:v>0.00013188929517540053</x:v>
      </x:c>
      <x:c r="J55" s="31" t="n">
        <x:f>'Results Raw'!$AB$52/100</x:f>
        <x:v>0.0006301953312071294</x:v>
      </x:c>
      <x:c r="K55" s="35" t="n">
        <x:f>ABS(E55-SUM(H55:J55))</x:f>
        <x:v>4.098284211995207e-17</x:v>
      </x:c>
      <x:c r="L55" s="37" t="n">
        <x:f>('Results Raw'!$W$52+'Results Raw'!$X$52+'Results Raw'!$Y$52)/1000000000</x:f>
        <x:v>-0.25252901509267334</x:v>
      </x:c>
      <x:c r="M55" s="37" t="n">
        <x:f>'Results Raw'!$R$52/1000000000</x:f>
        <x:v>0.2525290150926819</x:v>
      </x:c>
      <x:c r="N55" s="37" t="n">
        <x:f>ABS('Results Raw'!$R$52+'Results Raw'!$W$52+'Results Raw'!$X$52+'Results Raw'!$Y$52)/1000000000</x:f>
        <x:v>8.523464202880859e-15</x:v>
      </x:c>
      <x:c r="O55" s="39" t="n">
        <x:f>IF(MIN(ABS('Results Raw'!$O$52),ABS('Results Raw'!$N$52))=0,"",MAX(ABS('Results Raw'!$O$52)/ABS('Results Raw'!$N$52),ABS('Results Raw'!$N$52)/ABS('Results Raw'!$O$52)))</x:f>
        <x:v>1.0005581092689786</x:v>
      </x:c>
      <x:c r="P55" s="41" t="str">
        <x:f>IF('Results Raw'!$AO$52="","",'Results Raw'!$AO$52/100)</x:f>
      </x:c>
      <x:c r="Q55" s="29" t="str">
        <x:f>'Results Raw'!$AP$52</x:f>
        <x:v>Unverified</x:v>
      </x:c>
      <x:c r="R55" s="29" t="str">
        <x:f>IF(Q55="Unverified","PROXY / UNVERIFIED",IF(P55="","MISSING COVERAGE",IF(P55&lt;75%,"LIMITED COVERAGE","VERIFIED")))</x:f>
        <x:v>PROXY / UNVERIFIED</x:v>
      </x:c>
      <x:c r="S55" s="29" t="str">
        <x:f>IF(N55&gt;0.000001,"TERMINAL FCFF FLOOR",IF(OR('Results Raw'!$BK$52=TRUE,'Results Raw'!$BL$52=TRUE),"EV FLOOR",IF(OR(O55="",O55&gt;=4),"DENOMINATOR-SENSITIVE","NORMAL")))</x:f>
        <x:v>NORMAL</x:v>
      </x:c>
      <x:c r="T55" s="29" t="str">
        <x:f>IF(OR(R55="PROXY / UNVERIFIED",R55="MISSING COVERAGE",S55&lt;&gt;"NORMAL"),"EXCLUDE",IF(R55="LIMITED COVERAGE","CAUTION","RANKABLE"))</x:f>
        <x:v>EXCLUDE</x:v>
      </x:c>
      <x:c r="U55" s="43" t="str">
        <x:f>IF(T55="EXCLUDE","Illustrative only - do not assign an ordinary rank",IF(T55="CAUTION","Use with facility-coverage caveat","Decision-useable within the stated scenario only"))</x:f>
        <x:v>Illustrative only - do not assign an ordinary rank</x:v>
      </x:c>
    </x:row>
    <x:row r="56">
      <x:c r="A56" s="29" t="str">
        <x:f>'Results Raw'!$A$53</x:f>
        <x:v>CAT</x:v>
      </x:c>
      <x:c r="B56" s="29" t="str">
        <x:f>'Results Raw'!$B$53</x:f>
        <x:v>Industrials</x:v>
      </x:c>
      <x:c r="C56" s="29" t="str">
        <x:f>'Results Raw'!$E$53</x:f>
        <x:v>Below 2°C vs CP</x:v>
      </x:c>
      <x:c r="D56" s="29" t="str">
        <x:f>'Results Raw'!$I$53</x:f>
        <x:v>low</x:v>
      </x:c>
      <x:c r="E56" s="31" t="n">
        <x:f>'Results Raw'!$M$53/100</x:f>
        <x:v>-0.0021494917429490945</x:v>
      </x:c>
      <x:c r="F56" s="33" t="n">
        <x:f>('Results Raw'!$O$53-'Results Raw'!$N$53)/1000000000</x:f>
        <x:v>-0.2607262271944428</x:v>
      </x:c>
      <x:c r="G56" s="31" t="n">
        <x:f>IF(ABS('Results Raw'!$O$53)+ABS('Results Raw'!$N$53)=0,"",2*('Results Raw'!$O$53-'Results Raw'!$N$53)/(ABS('Results Raw'!$O$53)+ABS('Results Raw'!$N$53)))</x:f>
        <x:v>-0.0021518043858289367</x:v>
      </x:c>
      <x:c r="H56" s="31" t="n">
        <x:f>'Results Raw'!$Z$53/100</x:f>
        <x:v>-0.0023925635271163244</x:v>
      </x:c>
      <x:c r="I56" s="31" t="n">
        <x:f>'Results Raw'!$AA$53/100</x:f>
        <x:v>0.00001634925546384962</x:v>
      </x:c>
      <x:c r="J56" s="31" t="n">
        <x:f>'Results Raw'!$AB$53/100</x:f>
        <x:v>0.0002267225287034285</x:v>
      </x:c>
      <x:c r="K56" s="35" t="n">
        <x:f>ABS(E56-SUM(H56:J56))</x:f>
        <x:v>4.8138576458356397e-17</x:v>
      </x:c>
      <x:c r="L56" s="37" t="n">
        <x:f>('Results Raw'!$W$53+'Results Raw'!$X$53+'Results Raw'!$Y$53)/1000000000</x:f>
        <x:v>0.02406547049583317</x:v>
      </x:c>
      <x:c r="M56" s="37" t="n">
        <x:f>'Results Raw'!$R$53/1000000000</x:f>
        <x:v>-0.02406547049583435</x:v>
      </x:c>
      <x:c r="N56" s="37" t="n">
        <x:f>ABS('Results Raw'!$R$53+'Results Raw'!$W$53+'Results Raw'!$X$53+'Results Raw'!$Y$53)/1000000000</x:f>
        <x:v>1.177191734313965e-15</x:v>
      </x:c>
      <x:c r="O56" s="39" t="n">
        <x:f>IF(MIN(ABS('Results Raw'!$O$53),ABS('Results Raw'!$N$53))=0,"",MAX(ABS('Results Raw'!$O$53)/ABS('Results Raw'!$N$53),ABS('Results Raw'!$N$53)/ABS('Results Raw'!$O$53)))</x:f>
        <x:v>1.0021541220104238</x:v>
      </x:c>
      <x:c r="P56" s="41" t="n">
        <x:f>IF('Results Raw'!$AO$53="","",'Results Raw'!$AO$53/100)</x:f>
        <x:v>1</x:v>
      </x:c>
      <x:c r="Q56" s="29" t="str">
        <x:f>'Results Raw'!$AP$53</x:f>
        <x:v>High</x:v>
      </x:c>
      <x:c r="R56" s="29" t="str">
        <x:f>IF(Q56="Unverified","PROXY / UNVERIFIED",IF(P56="","MISSING COVERAGE",IF(P56&lt;75%,"LIMITED COVERAGE","VERIFIED")))</x:f>
        <x:v>VERIFIED</x:v>
      </x:c>
      <x:c r="S56" s="29" t="str">
        <x:f>IF(N56&gt;0.000001,"TERMINAL FCFF FLOOR",IF(OR('Results Raw'!$BK$53=TRUE,'Results Raw'!$BL$53=TRUE),"EV FLOOR",IF(OR(O56="",O56&gt;=4),"DENOMINATOR-SENSITIVE","NORMAL")))</x:f>
        <x:v>NORMAL</x:v>
      </x:c>
      <x:c r="T56" s="29" t="str">
        <x:f>IF(OR(R56="PROXY / UNVERIFIED",R56="MISSING COVERAGE",S56&lt;&gt;"NORMAL"),"EXCLUDE",IF(R56="LIMITED COVERAGE","CAUTION","RANKABLE"))</x:f>
        <x:v>RANKABLE</x:v>
      </x:c>
      <x:c r="U56" s="43" t="str">
        <x:f>IF(T56="EXCLUDE","Illustrative only - do not assign an ordinary rank",IF(T56="CAUTION","Use with facility-coverage caveat","Decision-useable within the stated scenario only"))</x:f>
        <x:v>Decision-useable within the stated scenario only</x:v>
      </x:c>
    </x:row>
    <x:row r="57">
      <x:c r="A57" s="29" t="str">
        <x:f>'Results Raw'!$A$54</x:f>
        <x:v>CAT</x:v>
      </x:c>
      <x:c r="B57" s="29" t="str">
        <x:f>'Results Raw'!$B$54</x:f>
        <x:v>Industrials</x:v>
      </x:c>
      <x:c r="C57" s="29" t="str">
        <x:f>'Results Raw'!$E$54</x:f>
        <x:v>Below 2°C vs CP</x:v>
      </x:c>
      <x:c r="D57" s="29" t="str">
        <x:f>'Results Raw'!$I$54</x:f>
        <x:v>base</x:v>
      </x:c>
      <x:c r="E57" s="31" t="n">
        <x:f>'Results Raw'!$M$54/100</x:f>
        <x:v>-0.009584513435582087</x:v>
      </x:c>
      <x:c r="F57" s="33" t="n">
        <x:f>('Results Raw'!$O$54-'Results Raw'!$N$54)/1000000000</x:f>
        <x:v>-1.1591166173296357</x:v>
      </x:c>
      <x:c r="G57" s="31" t="n">
        <x:f>IF(ABS('Results Raw'!$O$54)+ABS('Results Raw'!$N$54)=0,"",2*('Results Raw'!$O$54-'Results Raw'!$N$54)/(ABS('Results Raw'!$O$54)+ABS('Results Raw'!$N$54)))</x:f>
        <x:v>-0.009630666059703537</x:v>
      </x:c>
      <x:c r="H57" s="31" t="n">
        <x:f>'Results Raw'!$Z$54/100</x:f>
        <x:v>-0.010024883945819437</x:v>
      </x:c>
      <x:c r="I57" s="31" t="n">
        <x:f>'Results Raw'!$AA$54/100</x:f>
        <x:v>0.000050545444845177185</x:v>
      </x:c>
      <x:c r="J57" s="31" t="n">
        <x:f>'Results Raw'!$AB$54/100</x:f>
        <x:v>0.0003898250653921397</x:v>
      </x:c>
      <x:c r="K57" s="35" t="n">
        <x:f>ABS(E57-SUM(H57:J57))</x:f>
        <x:v>3.2959746043559335e-17</x:v>
      </x:c>
      <x:c r="L57" s="37" t="n">
        <x:f>('Results Raw'!$W$54+'Results Raw'!$X$54+'Results Raw'!$Y$54)/1000000000</x:f>
        <x:v>0.17151271151653094</x:v>
      </x:c>
      <x:c r="M57" s="37" t="n">
        <x:f>'Results Raw'!$R$54/1000000000</x:f>
        <x:v>-0.17151271151652908</x:v>
      </x:c>
      <x:c r="N57" s="37" t="n">
        <x:f>ABS('Results Raw'!$R$54+'Results Raw'!$W$54+'Results Raw'!$X$54+'Results Raw'!$Y$54)/1000000000</x:f>
        <x:v>1.8477439880371094e-15</x:v>
      </x:c>
      <x:c r="O57" s="39" t="n">
        <x:f>IF(MIN(ABS('Results Raw'!$O$54),ABS('Results Raw'!$N$54))=0,"",MAX(ABS('Results Raw'!$O$54)/ABS('Results Raw'!$N$54),ABS('Results Raw'!$N$54)/ABS('Results Raw'!$O$54)))</x:f>
        <x:v>1.0096772653150135</x:v>
      </x:c>
      <x:c r="P57" s="41" t="n">
        <x:f>IF('Results Raw'!$AO$54="","",'Results Raw'!$AO$54/100)</x:f>
        <x:v>1</x:v>
      </x:c>
      <x:c r="Q57" s="29" t="str">
        <x:f>'Results Raw'!$AP$54</x:f>
        <x:v>High</x:v>
      </x:c>
      <x:c r="R57" s="29" t="str">
        <x:f>IF(Q57="Unverified","PROXY / UNVERIFIED",IF(P57="","MISSING COVERAGE",IF(P57&lt;75%,"LIMITED COVERAGE","VERIFIED")))</x:f>
        <x:v>VERIFIED</x:v>
      </x:c>
      <x:c r="S57" s="29" t="str">
        <x:f>IF(N57&gt;0.000001,"TERMINAL FCFF FLOOR",IF(OR('Results Raw'!$BK$54=TRUE,'Results Raw'!$BL$54=TRUE),"EV FLOOR",IF(OR(O57="",O57&gt;=4),"DENOMINATOR-SENSITIVE","NORMAL")))</x:f>
        <x:v>NORMAL</x:v>
      </x:c>
      <x:c r="T57" s="29" t="str">
        <x:f>IF(OR(R57="PROXY / UNVERIFIED",R57="MISSING COVERAGE",S57&lt;&gt;"NORMAL"),"EXCLUDE",IF(R57="LIMITED COVERAGE","CAUTION","RANKABLE"))</x:f>
        <x:v>RANKABLE</x:v>
      </x:c>
      <x:c r="U57" s="43" t="str">
        <x:f>IF(T57="EXCLUDE","Illustrative only - do not assign an ordinary rank",IF(T57="CAUTION","Use with facility-coverage caveat","Decision-useable within the stated scenario only"))</x:f>
        <x:v>Decision-useable within the stated scenario only</x:v>
      </x:c>
    </x:row>
    <x:row r="58">
      <x:c r="A58" s="29" t="str">
        <x:f>'Results Raw'!$A$55</x:f>
        <x:v>CAT</x:v>
      </x:c>
      <x:c r="B58" s="29" t="str">
        <x:f>'Results Raw'!$B$55</x:f>
        <x:v>Industrials</x:v>
      </x:c>
      <x:c r="C58" s="29" t="str">
        <x:f>'Results Raw'!$E$55</x:f>
        <x:v>Below 2°C vs CP</x:v>
      </x:c>
      <x:c r="D58" s="29" t="str">
        <x:f>'Results Raw'!$I$55</x:f>
        <x:v>high</x:v>
      </x:c>
      <x:c r="E58" s="31" t="n">
        <x:f>'Results Raw'!$M$55/100</x:f>
        <x:v>-0.03480764684602922</x:v>
      </x:c>
      <x:c r="F58" s="33" t="n">
        <x:f>('Results Raw'!$O$55-'Results Raw'!$N$55)/1000000000</x:f>
        <x:v>-4.180815782747834</x:v>
      </x:c>
      <x:c r="G58" s="31" t="n">
        <x:f>IF(ABS('Results Raw'!$O$55)+ABS('Results Raw'!$N$55)=0,"",2*('Results Raw'!$O$55-'Results Raw'!$N$55)/(ABS('Results Raw'!$O$55)+ABS('Results Raw'!$N$55)))</x:f>
        <x:v>-0.035424162718897076</x:v>
      </x:c>
      <x:c r="H58" s="31" t="n">
        <x:f>'Results Raw'!$Z$55/100</x:f>
        <x:v>-0.03559753584090085</x:v>
      </x:c>
      <x:c r="I58" s="31" t="n">
        <x:f>'Results Raw'!$AA$55/100</x:f>
        <x:v>0.00013572113377417595</x:v>
      </x:c>
      <x:c r="J58" s="31" t="n">
        <x:f>'Results Raw'!$AB$55/100</x:f>
        <x:v>0.000654167861097426</x:v>
      </x:c>
      <x:c r="K58" s="35" t="n">
        <x:f>ABS(E58-SUM(H58:J58))</x:f>
        <x:v>2.7755575615628914e-17</x:v>
      </x:c>
      <x:c r="L58" s="37" t="n">
        <x:f>('Results Raw'!$W$55+'Results Raw'!$X$55+'Results Raw'!$Y$55)/1000000000</x:f>
        <x:v>0.8291447413388381</x:v>
      </x:c>
      <x:c r="M58" s="37" t="n">
        <x:f>'Results Raw'!$R$55/1000000000</x:f>
        <x:v>-0.8291447413388385</x:v>
      </x:c>
      <x:c r="N58" s="37" t="n">
        <x:f>ABS('Results Raw'!$R$55+'Results Raw'!$W$55+'Results Raw'!$X$55+'Results Raw'!$Y$55)/1000000000</x:f>
        <x:v>5.811452865600586e-16</x:v>
      </x:c>
      <x:c r="O58" s="39" t="n">
        <x:f>IF(MIN(ABS('Results Raw'!$O$55),ABS('Results Raw'!$N$55))=0,"",MAX(ABS('Results Raw'!$O$55)/ABS('Results Raw'!$N$55),ABS('Results Raw'!$N$55)/ABS('Results Raw'!$O$55)))</x:f>
        <x:v>1.0360629119494036</x:v>
      </x:c>
      <x:c r="P58" s="41" t="n">
        <x:f>IF('Results Raw'!$AO$55="","",'Results Raw'!$AO$55/100)</x:f>
        <x:v>1</x:v>
      </x:c>
      <x:c r="Q58" s="29" t="str">
        <x:f>'Results Raw'!$AP$55</x:f>
        <x:v>High</x:v>
      </x:c>
      <x:c r="R58" s="29" t="str">
        <x:f>IF(Q58="Unverified","PROXY / UNVERIFIED",IF(P58="","MISSING COVERAGE",IF(P58&lt;75%,"LIMITED COVERAGE","VERIFIED")))</x:f>
        <x:v>VERIFIED</x:v>
      </x:c>
      <x:c r="S58" s="29" t="str">
        <x:f>IF(N58&gt;0.000001,"TERMINAL FCFF FLOOR",IF(OR('Results Raw'!$BK$55=TRUE,'Results Raw'!$BL$55=TRUE),"EV FLOOR",IF(OR(O58="",O58&gt;=4),"DENOMINATOR-SENSITIVE","NORMAL")))</x:f>
        <x:v>NORMAL</x:v>
      </x:c>
      <x:c r="T58" s="29" t="str">
        <x:f>IF(OR(R58="PROXY / UNVERIFIED",R58="MISSING COVERAGE",S58&lt;&gt;"NORMAL"),"EXCLUDE",IF(R58="LIMITED COVERAGE","CAUTION","RANKABLE"))</x:f>
        <x:v>RANKABLE</x:v>
      </x:c>
      <x:c r="U58" s="43" t="str">
        <x:f>IF(T58="EXCLUDE","Illustrative only - do not assign an ordinary rank",IF(T58="CAUTION","Use with facility-coverage caveat","Decision-useable within the stated scenario only"))</x:f>
        <x:v>Decision-useable within the stated scenario only</x:v>
      </x:c>
    </x:row>
    <x:row r="59">
      <x:c r="A59" s="29" t="str">
        <x:f>'Results Raw'!$A$56</x:f>
        <x:v>CVX</x:v>
      </x:c>
      <x:c r="B59" s="29" t="str">
        <x:f>'Results Raw'!$B$56</x:f>
        <x:v>Energy</x:v>
      </x:c>
      <x:c r="C59" s="29" t="str">
        <x:f>'Results Raw'!$E$56</x:f>
        <x:v>Below 2°C vs CP</x:v>
      </x:c>
      <x:c r="D59" s="29" t="str">
        <x:f>'Results Raw'!$I$56</x:f>
        <x:v>low</x:v>
      </x:c>
      <x:c r="E59" s="31" t="n">
        <x:f>'Results Raw'!$M$56/100</x:f>
        <x:v>-0.012001405457723213</x:v>
      </x:c>
      <x:c r="F59" s="33" t="n">
        <x:f>('Results Raw'!$O$56-'Results Raw'!$N$56)/1000000000</x:f>
        <x:v>-4.492128322938293</x:v>
      </x:c>
      <x:c r="G59" s="31" t="n">
        <x:f>IF(ABS('Results Raw'!$O$56)+ABS('Results Raw'!$N$56)=0,"",2*('Results Raw'!$O$56-'Results Raw'!$N$56)/(ABS('Results Raw'!$O$56)+ABS('Results Raw'!$N$56)))</x:f>
        <x:v>-0.01207385708488033</x:v>
      </x:c>
      <x:c r="H59" s="31" t="n">
        <x:f>'Results Raw'!$Z$56/100</x:f>
        <x:v>-0.01284284677582066</x:v>
      </x:c>
      <x:c r="I59" s="31" t="n">
        <x:f>'Results Raw'!$AA$56/100</x:f>
        <x:v>0.00041273222784533295</x:v>
      </x:c>
      <x:c r="J59" s="31" t="n">
        <x:f>'Results Raw'!$AB$56/100</x:f>
        <x:v>0.0004287090902521253</x:v>
      </x:c>
      <x:c r="K59" s="35" t="n">
        <x:f>ABS(E59-SUM(H59:J59))</x:f>
        <x:v>1.214306433183765e-17</x:v>
      </x:c>
      <x:c r="L59" s="37" t="n">
        <x:f>('Results Raw'!$W$56+'Results Raw'!$X$56+'Results Raw'!$Y$56)/1000000000</x:f>
        <x:v>0.26976047069913256</x:v>
      </x:c>
      <x:c r="M59" s="37" t="n">
        <x:f>'Results Raw'!$R$56/1000000000</x:f>
        <x:v>-0.269760470699131</x:v>
      </x:c>
      <x:c r="N59" s="37" t="n">
        <x:f>ABS('Results Raw'!$R$56+'Results Raw'!$W$56+'Results Raw'!$X$56+'Results Raw'!$Y$56)/1000000000</x:f>
        <x:v>1.5571713447570801e-15</x:v>
      </x:c>
      <x:c r="O59" s="39" t="n">
        <x:f>IF(MIN(ABS('Results Raw'!$O$56),ABS('Results Raw'!$N$56))=0,"",MAX(ABS('Results Raw'!$O$56)/ABS('Results Raw'!$N$56),ABS('Results Raw'!$N$56)/ABS('Results Raw'!$O$56)))</x:f>
        <x:v>1.012147188795631</x:v>
      </x:c>
      <x:c r="P59" s="41" t="n">
        <x:f>IF('Results Raw'!$AO$56="","",'Results Raw'!$AO$56/100)</x:f>
        <x:v>0.6415094339622641</x:v>
      </x:c>
      <x:c r="Q59" s="29" t="str">
        <x:f>'Results Raw'!$AP$56</x:f>
        <x:v>Medium</x:v>
      </x:c>
      <x:c r="R59" s="29" t="str">
        <x:f>IF(Q59="Unverified","PROXY / UNVERIFIED",IF(P59="","MISSING COVERAGE",IF(P59&lt;75%,"LIMITED COVERAGE","VERIFIED")))</x:f>
        <x:v>LIMITED COVERAGE</x:v>
      </x:c>
      <x:c r="S59" s="29" t="str">
        <x:f>IF(N59&gt;0.000001,"TERMINAL FCFF FLOOR",IF(OR('Results Raw'!$BK$56=TRUE,'Results Raw'!$BL$56=TRUE),"EV FLOOR",IF(OR(O59="",O59&gt;=4),"DENOMINATOR-SENSITIVE","NORMAL")))</x:f>
        <x:v>NORMAL</x:v>
      </x:c>
      <x:c r="T59" s="29" t="str">
        <x:f>IF(OR(R59="PROXY / UNVERIFIED",R59="MISSING COVERAGE",S59&lt;&gt;"NORMAL"),"EXCLUDE",IF(R59="LIMITED COVERAGE","CAUTION","RANKABLE"))</x:f>
        <x:v>CAUTION</x:v>
      </x:c>
      <x:c r="U59" s="43" t="str">
        <x:f>IF(T59="EXCLUDE","Illustrative only - do not assign an ordinary rank",IF(T59="CAUTION","Use with facility-coverage caveat","Decision-useable within the stated scenario only"))</x:f>
        <x:v>Use with facility-coverage caveat</x:v>
      </x:c>
    </x:row>
    <x:row r="60">
      <x:c r="A60" s="29" t="str">
        <x:f>'Results Raw'!$A$57</x:f>
        <x:v>CVX</x:v>
      </x:c>
      <x:c r="B60" s="29" t="str">
        <x:f>'Results Raw'!$B$57</x:f>
        <x:v>Energy</x:v>
      </x:c>
      <x:c r="C60" s="29" t="str">
        <x:f>'Results Raw'!$E$57</x:f>
        <x:v>Below 2°C vs CP</x:v>
      </x:c>
      <x:c r="D60" s="29" t="str">
        <x:f>'Results Raw'!$I$57</x:f>
        <x:v>base</x:v>
      </x:c>
      <x:c r="E60" s="31" t="n">
        <x:f>'Results Raw'!$M$57/100</x:f>
        <x:v>-0.0437406498350369</x:v>
      </x:c>
      <x:c r="F60" s="33" t="n">
        <x:f>('Results Raw'!$O$57-'Results Raw'!$N$57)/1000000000</x:f>
        <x:v>-16.25663050661017</x:v>
      </x:c>
      <x:c r="G60" s="31" t="n">
        <x:f>IF(ABS('Results Raw'!$O$57)+ABS('Results Raw'!$N$57)=0,"",2*('Results Raw'!$O$57-'Results Raw'!$N$57)/(ABS('Results Raw'!$O$57)+ABS('Results Raw'!$N$57)))</x:f>
        <x:v>-0.04471866149173772</x:v>
      </x:c>
      <x:c r="H60" s="31" t="n">
        <x:f>'Results Raw'!$Z$57/100</x:f>
        <x:v>-0.04564386519747297</x:v>
      </x:c>
      <x:c r="I60" s="31" t="n">
        <x:f>'Results Raw'!$AA$57/100</x:f>
        <x:v>0.0011630638346082477</x:v>
      </x:c>
      <x:c r="J60" s="31" t="n">
        <x:f>'Results Raw'!$AB$57/100</x:f>
        <x:v>0.000740151527827825</x:v>
      </x:c>
      <x:c r="K60" s="35" t="n">
        <x:f>ABS(E60-SUM(H60:J60))</x:f>
        <x:v>6.938893903907228e-18</x:v>
      </x:c>
      <x:c r="L60" s="37" t="n">
        <x:f>('Results Raw'!$W$57+'Results Raw'!$X$57+'Results Raw'!$Y$57)/1000000000</x:f>
        <x:v>1.2433354820929121</x:v>
      </x:c>
      <x:c r="M60" s="37" t="n">
        <x:f>'Results Raw'!$R$57/1000000000</x:f>
        <x:v>-1.2433354820929108</x:v>
      </x:c>
      <x:c r="N60" s="37" t="n">
        <x:f>ABS('Results Raw'!$R$57+'Results Raw'!$W$57+'Results Raw'!$X$57+'Results Raw'!$Y$57)/1000000000</x:f>
        <x:v>1.4603137969970704e-15</x:v>
      </x:c>
      <x:c r="O60" s="39" t="n">
        <x:f>IF(MIN(ABS('Results Raw'!$O$57),ABS('Results Raw'!$N$57))=0,"",MAX(ABS('Results Raw'!$O$57)/ABS('Results Raw'!$N$57),ABS('Results Raw'!$N$57)/ABS('Results Raw'!$O$57)))</x:f>
        <x:v>1.0457414087794188</x:v>
      </x:c>
      <x:c r="P60" s="41" t="n">
        <x:f>IF('Results Raw'!$AO$57="","",'Results Raw'!$AO$57/100)</x:f>
        <x:v>0.6415094339622641</x:v>
      </x:c>
      <x:c r="Q60" s="29" t="str">
        <x:f>'Results Raw'!$AP$57</x:f>
        <x:v>Medium</x:v>
      </x:c>
      <x:c r="R60" s="29" t="str">
        <x:f>IF(Q60="Unverified","PROXY / UNVERIFIED",IF(P60="","MISSING COVERAGE",IF(P60&lt;75%,"LIMITED COVERAGE","VERIFIED")))</x:f>
        <x:v>LIMITED COVERAGE</x:v>
      </x:c>
      <x:c r="S60" s="29" t="str">
        <x:f>IF(N60&gt;0.000001,"TERMINAL FCFF FLOOR",IF(OR('Results Raw'!$BK$57=TRUE,'Results Raw'!$BL$57=TRUE),"EV FLOOR",IF(OR(O60="",O60&gt;=4),"DENOMINATOR-SENSITIVE","NORMAL")))</x:f>
        <x:v>NORMAL</x:v>
      </x:c>
      <x:c r="T60" s="29" t="str">
        <x:f>IF(OR(R60="PROXY / UNVERIFIED",R60="MISSING COVERAGE",S60&lt;&gt;"NORMAL"),"EXCLUDE",IF(R60="LIMITED COVERAGE","CAUTION","RANKABLE"))</x:f>
        <x:v>CAUTION</x:v>
      </x:c>
      <x:c r="U60" s="43" t="str">
        <x:f>IF(T60="EXCLUDE","Illustrative only - do not assign an ordinary rank",IF(T60="CAUTION","Use with facility-coverage caveat","Decision-useable within the stated scenario only"))</x:f>
        <x:v>Use with facility-coverage caveat</x:v>
      </x:c>
    </x:row>
    <x:row r="61">
      <x:c r="A61" s="29" t="str">
        <x:f>'Results Raw'!$A$58</x:f>
        <x:v>CVX</x:v>
      </x:c>
      <x:c r="B61" s="29" t="str">
        <x:f>'Results Raw'!$B$58</x:f>
        <x:v>Energy</x:v>
      </x:c>
      <x:c r="C61" s="29" t="str">
        <x:f>'Results Raw'!$E$58</x:f>
        <x:v>Below 2°C vs CP</x:v>
      </x:c>
      <x:c r="D61" s="29" t="str">
        <x:f>'Results Raw'!$I$58</x:f>
        <x:v>high</x:v>
      </x:c>
      <x:c r="E61" s="31" t="n">
        <x:f>'Results Raw'!$M$58/100</x:f>
        <x:v>-0.12181975463907178</x:v>
      </x:c>
      <x:c r="F61" s="33" t="n">
        <x:f>('Results Raw'!$O$58-'Results Raw'!$N$58)/1000000000</x:f>
        <x:v>-44.676783502771364</x:v>
      </x:c>
      <x:c r="G61" s="31" t="n">
        <x:f>IF(ABS('Results Raw'!$O$58)+ABS('Results Raw'!$N$58)=0,"",2*('Results Raw'!$O$58-'Results Raw'!$N$58)/(ABS('Results Raw'!$O$58)+ABS('Results Raw'!$N$58)))</x:f>
        <x:v>-0.12972104774285043</x:v>
      </x:c>
      <x:c r="H61" s="31" t="n">
        <x:f>'Results Raw'!$Z$58/100</x:f>
        <x:v>-0.12536474394137154</x:v>
      </x:c>
      <x:c r="I61" s="31" t="n">
        <x:f>'Results Raw'!$AA$58/100</x:f>
        <x:v>0.0022948727216432186</x:v>
      </x:c>
      <x:c r="J61" s="31" t="n">
        <x:f>'Results Raw'!$AB$58/100</x:f>
        <x:v>0.001250116580656584</x:v>
      </x:c>
      <x:c r="K61" s="35" t="n">
        <x:f>ABS(E61-SUM(H61:J61))</x:f>
        <x:v>5.551115123125783e-17</x:v>
      </x:c>
      <x:c r="L61" s="37" t="n">
        <x:f>('Results Raw'!$W$58+'Results Raw'!$X$58+'Results Raw'!$Y$58)/1000000000</x:f>
        <x:v>4.1058929963013675</x:v>
      </x:c>
      <x:c r="M61" s="37" t="n">
        <x:f>'Results Raw'!$R$58/1000000000</x:f>
        <x:v>-4.105892996301368</x:v>
      </x:c>
      <x:c r="N61" s="37" t="n">
        <x:f>ABS('Results Raw'!$R$58+'Results Raw'!$W$58+'Results Raw'!$X$58+'Results Raw'!$Y$58)/1000000000</x:f>
        <x:v>1.0728836059570312e-15</x:v>
      </x:c>
      <x:c r="O61" s="39" t="n">
        <x:f>IF(MIN(ABS('Results Raw'!$O$58),ABS('Results Raw'!$N$58))=0,"",MAX(ABS('Results Raw'!$O$58)/ABS('Results Raw'!$N$58),ABS('Results Raw'!$N$58)/ABS('Results Raw'!$O$58)))</x:f>
        <x:v>1.1387183955487457</x:v>
      </x:c>
      <x:c r="P61" s="41" t="n">
        <x:f>IF('Results Raw'!$AO$58="","",'Results Raw'!$AO$58/100)</x:f>
        <x:v>0.6415094339622641</x:v>
      </x:c>
      <x:c r="Q61" s="29" t="str">
        <x:f>'Results Raw'!$AP$58</x:f>
        <x:v>Medium</x:v>
      </x:c>
      <x:c r="R61" s="29" t="str">
        <x:f>IF(Q61="Unverified","PROXY / UNVERIFIED",IF(P61="","MISSING COVERAGE",IF(P61&lt;75%,"LIMITED COVERAGE","VERIFIED")))</x:f>
        <x:v>LIMITED COVERAGE</x:v>
      </x:c>
      <x:c r="S61" s="29" t="str">
        <x:f>IF(N61&gt;0.000001,"TERMINAL FCFF FLOOR",IF(OR('Results Raw'!$BK$58=TRUE,'Results Raw'!$BL$58=TRUE),"EV FLOOR",IF(OR(O61="",O61&gt;=4),"DENOMINATOR-SENSITIVE","NORMAL")))</x:f>
        <x:v>NORMAL</x:v>
      </x:c>
      <x:c r="T61" s="29" t="str">
        <x:f>IF(OR(R61="PROXY / UNVERIFIED",R61="MISSING COVERAGE",S61&lt;&gt;"NORMAL"),"EXCLUDE",IF(R61="LIMITED COVERAGE","CAUTION","RANKABLE"))</x:f>
        <x:v>CAUTION</x:v>
      </x:c>
      <x:c r="U61" s="43" t="str">
        <x:f>IF(T61="EXCLUDE","Illustrative only - do not assign an ordinary rank",IF(T61="CAUTION","Use with facility-coverage caveat","Decision-useable within the stated scenario only"))</x:f>
        <x:v>Use with facility-coverage caveat</x:v>
      </x:c>
    </x:row>
    <x:row r="62">
      <x:c r="A62" s="29" t="str">
        <x:f>'Results Raw'!$A$59</x:f>
        <x:v>DE</x:v>
      </x:c>
      <x:c r="B62" s="29" t="str">
        <x:f>'Results Raw'!$B$59</x:f>
        <x:v>Industrials</x:v>
      </x:c>
      <x:c r="C62" s="29" t="str">
        <x:f>'Results Raw'!$E$59</x:f>
        <x:v>Below 2°C vs CP</x:v>
      </x:c>
      <x:c r="D62" s="29" t="str">
        <x:f>'Results Raw'!$I$59</x:f>
        <x:v>low</x:v>
      </x:c>
      <x:c r="E62" s="31" t="n">
        <x:f>'Results Raw'!$M$59/100</x:f>
        <x:v>-0.0001969737406013472</x:v>
      </x:c>
      <x:c r="F62" s="33" t="n">
        <x:f>('Results Raw'!$O$59-'Results Raw'!$N$59)/1000000000</x:f>
        <x:v>-0.030634738332702638</x:v>
      </x:c>
      <x:c r="G62" s="31" t="n">
        <x:f>IF(ABS('Results Raw'!$O$59)+ABS('Results Raw'!$N$59)=0,"",2*('Results Raw'!$O$59-'Results Raw'!$N$59)/(ABS('Results Raw'!$O$59)+ABS('Results Raw'!$N$59)))</x:f>
        <x:v>-0.00019699314183934907</x:v>
      </x:c>
      <x:c r="H62" s="31" t="n">
        <x:f>'Results Raw'!$Z$59/100</x:f>
        <x:v>-0.00048608281250048127</x:v>
      </x:c>
      <x:c r="I62" s="31" t="n">
        <x:f>'Results Raw'!$AA$59/100</x:f>
        <x:v>0.00001860586134553798</x:v>
      </x:c>
      <x:c r="J62" s="31" t="n">
        <x:f>'Results Raw'!$AB$59/100</x:f>
        <x:v>0.0002705032105536046</x:v>
      </x:c>
      <x:c r="K62" s="35" t="n">
        <x:f>ABS(E62-SUM(H62:J62))</x:f>
        <x:v>8.51098705401121e-18</x:v>
      </x:c>
      <x:c r="L62" s="37" t="n">
        <x:f>('Results Raw'!$W$59+'Results Raw'!$X$59+'Results Raw'!$Y$59)/1000000000</x:f>
        <x:v>-0.001867185063805162</x:v>
      </x:c>
      <x:c r="M62" s="37" t="n">
        <x:f>'Results Raw'!$R$59/1000000000</x:f>
        <x:v>0.0018671850638065338</x:v>
      </x:c>
      <x:c r="N62" s="37" t="n">
        <x:f>ABS('Results Raw'!$R$59+'Results Raw'!$W$59+'Results Raw'!$X$59+'Results Raw'!$Y$59)/1000000000</x:f>
        <x:v>1.3718381524085998e-15</x:v>
      </x:c>
      <x:c r="O62" s="39" t="n">
        <x:f>IF(MIN(ABS('Results Raw'!$O$59),ABS('Results Raw'!$N$59))=0,"",MAX(ABS('Results Raw'!$O$59)/ABS('Results Raw'!$N$59),ABS('Results Raw'!$N$59)/ABS('Results Raw'!$O$59)))</x:f>
        <x:v>1.0001970125468997</x:v>
      </x:c>
      <x:c r="P62" s="41" t="n">
        <x:f>IF('Results Raw'!$AO$59="","",'Results Raw'!$AO$59/100)</x:f>
        <x:v>1</x:v>
      </x:c>
      <x:c r="Q62" s="29" t="str">
        <x:f>'Results Raw'!$AP$59</x:f>
        <x:v>High</x:v>
      </x:c>
      <x:c r="R62" s="29" t="str">
        <x:f>IF(Q62="Unverified","PROXY / UNVERIFIED",IF(P62="","MISSING COVERAGE",IF(P62&lt;75%,"LIMITED COVERAGE","VERIFIED")))</x:f>
        <x:v>VERIFIED</x:v>
      </x:c>
      <x:c r="S62" s="29" t="str">
        <x:f>IF(N62&gt;0.000001,"TERMINAL FCFF FLOOR",IF(OR('Results Raw'!$BK$59=TRUE,'Results Raw'!$BL$59=TRUE),"EV FLOOR",IF(OR(O62="",O62&gt;=4),"DENOMINATOR-SENSITIVE","NORMAL")))</x:f>
        <x:v>NORMAL</x:v>
      </x:c>
      <x:c r="T62" s="29" t="str">
        <x:f>IF(OR(R62="PROXY / UNVERIFIED",R62="MISSING COVERAGE",S62&lt;&gt;"NORMAL"),"EXCLUDE",IF(R62="LIMITED COVERAGE","CAUTION","RANKABLE"))</x:f>
        <x:v>RANKABLE</x:v>
      </x:c>
      <x:c r="U62" s="43" t="str">
        <x:f>IF(T62="EXCLUDE","Illustrative only - do not assign an ordinary rank",IF(T62="CAUTION","Use with facility-coverage caveat","Decision-useable within the stated scenario only"))</x:f>
        <x:v>Decision-useable within the stated scenario only</x:v>
      </x:c>
    </x:row>
    <x:row r="63">
      <x:c r="A63" s="29" t="str">
        <x:f>'Results Raw'!$A$60</x:f>
        <x:v>DE</x:v>
      </x:c>
      <x:c r="B63" s="29" t="str">
        <x:f>'Results Raw'!$B$60</x:f>
        <x:v>Industrials</x:v>
      </x:c>
      <x:c r="C63" s="29" t="str">
        <x:f>'Results Raw'!$E$60</x:f>
        <x:v>Below 2°C vs CP</x:v>
      </x:c>
      <x:c r="D63" s="29" t="str">
        <x:f>'Results Raw'!$I$60</x:f>
        <x:v>base</x:v>
      </x:c>
      <x:c r="E63" s="31" t="n">
        <x:f>'Results Raw'!$M$60/100</x:f>
        <x:v>-0.0015383675445798106</x:v>
      </x:c>
      <x:c r="F63" s="33" t="n">
        <x:f>('Results Raw'!$O$60-'Results Raw'!$N$60)/1000000000</x:f>
        <x:v>-0.23848187171948243</x:v>
      </x:c>
      <x:c r="G63" s="31" t="n">
        <x:f>IF(ABS('Results Raw'!$O$60)+ABS('Results Raw'!$N$60)=0,"",2*('Results Raw'!$O$60-'Results Raw'!$N$60)/(ABS('Results Raw'!$O$60)+ABS('Results Raw'!$N$60)))</x:f>
        <x:v>-0.0015395517427970145</x:v>
      </x:c>
      <x:c r="H63" s="31" t="n">
        <x:f>'Results Raw'!$Z$60/100</x:f>
        <x:v>-0.0020630374276344584</x:v>
      </x:c>
      <x:c r="I63" s="31" t="n">
        <x:f>'Results Raw'!$AA$60/100</x:f>
        <x:v>0.00005944149203252142</x:v>
      </x:c>
      <x:c r="J63" s="31" t="n">
        <x:f>'Results Raw'!$AB$60/100</x:f>
        <x:v>0.0004652283910220829</x:v>
      </x:c>
      <x:c r="K63" s="35" t="n">
        <x:f>ABS(E63-SUM(H63:J63))</x:f>
        <x:v>4.336808689942018e-17</x:v>
      </x:c>
      <x:c r="L63" s="37" t="n">
        <x:f>('Results Raw'!$W$60+'Results Raw'!$X$60+'Results Raw'!$Y$60)/1000000000</x:f>
        <x:v>0.01672987029518618</x:v>
      </x:c>
      <x:c r="M63" s="37" t="n">
        <x:f>'Results Raw'!$R$60/1000000000</x:f>
        <x:v>-0.01672987029518509</x:v>
      </x:c>
      <x:c r="N63" s="37" t="n">
        <x:f>ABS('Results Raw'!$R$60+'Results Raw'!$W$60+'Results Raw'!$X$60+'Results Raw'!$Y$60)/1000000000</x:f>
        <x:v>1.087784767150879e-15</x:v>
      </x:c>
      <x:c r="O63" s="39" t="n">
        <x:f>IF(MIN(ABS('Results Raw'!$O$60),ABS('Results Raw'!$N$60))=0,"",MAX(ABS('Results Raw'!$O$60)/ABS('Results Raw'!$N$60),ABS('Results Raw'!$N$60)/ABS('Results Raw'!$O$60)))</x:f>
        <x:v>1.0015407377655532</x:v>
      </x:c>
      <x:c r="P63" s="41" t="n">
        <x:f>IF('Results Raw'!$AO$60="","",'Results Raw'!$AO$60/100)</x:f>
        <x:v>1</x:v>
      </x:c>
      <x:c r="Q63" s="29" t="str">
        <x:f>'Results Raw'!$AP$60</x:f>
        <x:v>High</x:v>
      </x:c>
      <x:c r="R63" s="29" t="str">
        <x:f>IF(Q63="Unverified","PROXY / UNVERIFIED",IF(P63="","MISSING COVERAGE",IF(P63&lt;75%,"LIMITED COVERAGE","VERIFIED")))</x:f>
        <x:v>VERIFIED</x:v>
      </x:c>
      <x:c r="S63" s="29" t="str">
        <x:f>IF(N63&gt;0.000001,"TERMINAL FCFF FLOOR",IF(OR('Results Raw'!$BK$60=TRUE,'Results Raw'!$BL$60=TRUE),"EV FLOOR",IF(OR(O63="",O63&gt;=4),"DENOMINATOR-SENSITIVE","NORMAL")))</x:f>
        <x:v>NORMAL</x:v>
      </x:c>
      <x:c r="T63" s="29" t="str">
        <x:f>IF(OR(R63="PROXY / UNVERIFIED",R63="MISSING COVERAGE",S63&lt;&gt;"NORMAL"),"EXCLUDE",IF(R63="LIMITED COVERAGE","CAUTION","RANKABLE"))</x:f>
        <x:v>RANKABLE</x:v>
      </x:c>
      <x:c r="U63" s="43" t="str">
        <x:f>IF(T63="EXCLUDE","Illustrative only - do not assign an ordinary rank",IF(T63="CAUTION","Use with facility-coverage caveat","Decision-useable within the stated scenario only"))</x:f>
        <x:v>Decision-useable within the stated scenario only</x:v>
      </x:c>
    </x:row>
    <x:row r="64">
      <x:c r="A64" s="29" t="str">
        <x:f>'Results Raw'!$A$61</x:f>
        <x:v>DE</x:v>
      </x:c>
      <x:c r="B64" s="29" t="str">
        <x:f>'Results Raw'!$B$61</x:f>
        <x:v>Industrials</x:v>
      </x:c>
      <x:c r="C64" s="29" t="str">
        <x:f>'Results Raw'!$E$61</x:f>
        <x:v>Below 2°C vs CP</x:v>
      </x:c>
      <x:c r="D64" s="29" t="str">
        <x:f>'Results Raw'!$I$61</x:f>
        <x:v>high</x:v>
      </x:c>
      <x:c r="E64" s="31" t="n">
        <x:f>'Results Raw'!$M$61/100</x:f>
        <x:v>-0.006342943541699286</x:v>
      </x:c>
      <x:c r="F64" s="33" t="n">
        <x:f>('Results Raw'!$O$61-'Results Raw'!$N$61)/1000000000</x:f>
        <x:v>-0.9762305788791504</x:v>
      </x:c>
      <x:c r="G64" s="31" t="n">
        <x:f>IF(ABS('Results Raw'!$O$61)+ABS('Results Raw'!$N$61)=0,"",2*('Results Raw'!$O$61-'Results Raw'!$N$61)/(ABS('Results Raw'!$O$61)+ABS('Results Raw'!$N$61)))</x:f>
        <x:v>-0.006363124009871009</x:v>
      </x:c>
      <x:c r="H64" s="31" t="n">
        <x:f>'Results Raw'!$Z$61/100</x:f>
        <x:v>-0.007297189893954884</x:v>
      </x:c>
      <x:c r="I64" s="31" t="n">
        <x:f>'Results Raw'!$AA$61/100</x:f>
        <x:v>0.00017325061926668422</x:v>
      </x:c>
      <x:c r="J64" s="31" t="n">
        <x:f>'Results Raw'!$AB$61/100</x:f>
        <x:v>0.0007809957329889128</x:v>
      </x:c>
      <x:c r="K64" s="35" t="n">
        <x:f>ABS(E64-SUM(H64:J64))</x:f>
        <x:v>0</x:v>
      </x:c>
      <x:c r="L64" s="37" t="n">
        <x:f>('Results Raw'!$W$61+'Results Raw'!$X$61+'Results Raw'!$Y$61)/1000000000</x:f>
        <x:v>0.10501102486443661</x:v>
      </x:c>
      <x:c r="M64" s="37" t="n">
        <x:f>'Results Raw'!$R$61/1000000000</x:f>
        <x:v>-0.1050110248644371</x:v>
      </x:c>
      <x:c r="N64" s="37" t="n">
        <x:f>ABS('Results Raw'!$R$61+'Results Raw'!$W$61+'Results Raw'!$X$61+'Results Raw'!$Y$61)/1000000000</x:f>
        <x:v>4.917383193969726e-16</x:v>
      </x:c>
      <x:c r="O64" s="39" t="n">
        <x:f>IF(MIN(ABS('Results Raw'!$O$61),ABS('Results Raw'!$N$61))=0,"",MAX(ABS('Results Raw'!$O$61)/ABS('Results Raw'!$N$61),ABS('Results Raw'!$N$61)/ABS('Results Raw'!$O$61)))</x:f>
        <x:v>1.0063834332987152</x:v>
      </x:c>
      <x:c r="P64" s="41" t="n">
        <x:f>IF('Results Raw'!$AO$61="","",'Results Raw'!$AO$61/100)</x:f>
        <x:v>1</x:v>
      </x:c>
      <x:c r="Q64" s="29" t="str">
        <x:f>'Results Raw'!$AP$61</x:f>
        <x:v>High</x:v>
      </x:c>
      <x:c r="R64" s="29" t="str">
        <x:f>IF(Q64="Unverified","PROXY / UNVERIFIED",IF(P64="","MISSING COVERAGE",IF(P64&lt;75%,"LIMITED COVERAGE","VERIFIED")))</x:f>
        <x:v>VERIFIED</x:v>
      </x:c>
      <x:c r="S64" s="29" t="str">
        <x:f>IF(N64&gt;0.000001,"TERMINAL FCFF FLOOR",IF(OR('Results Raw'!$BK$61=TRUE,'Results Raw'!$BL$61=TRUE),"EV FLOOR",IF(OR(O64="",O64&gt;=4),"DENOMINATOR-SENSITIVE","NORMAL")))</x:f>
        <x:v>NORMAL</x:v>
      </x:c>
      <x:c r="T64" s="29" t="str">
        <x:f>IF(OR(R64="PROXY / UNVERIFIED",R64="MISSING COVERAGE",S64&lt;&gt;"NORMAL"),"EXCLUDE",IF(R64="LIMITED COVERAGE","CAUTION","RANKABLE"))</x:f>
        <x:v>RANKABLE</x:v>
      </x:c>
      <x:c r="U64" s="43" t="str">
        <x:f>IF(T64="EXCLUDE","Illustrative only - do not assign an ordinary rank",IF(T64="CAUTION","Use with facility-coverage caveat","Decision-useable within the stated scenario only"))</x:f>
        <x:v>Decision-useable within the stated scenario only</x:v>
      </x:c>
    </x:row>
    <x:row r="65">
      <x:c r="A65" s="29" t="str">
        <x:f>'Results Raw'!$A$62</x:f>
        <x:v>DUK</x:v>
      </x:c>
      <x:c r="B65" s="29" t="str">
        <x:f>'Results Raw'!$B$62</x:f>
        <x:v>Utilities</x:v>
      </x:c>
      <x:c r="C65" s="29" t="str">
        <x:f>'Results Raw'!$E$62</x:f>
        <x:v>Below 2°C vs CP</x:v>
      </x:c>
      <x:c r="D65" s="29" t="str">
        <x:f>'Results Raw'!$I$62</x:f>
        <x:v>low</x:v>
      </x:c>
      <x:c r="E65" s="31" t="n">
        <x:f>'Results Raw'!$M$62/100</x:f>
        <x:v>-0.20143992672245348</x:v>
      </x:c>
      <x:c r="F65" s="33" t="n">
        <x:f>('Results Raw'!$O$62-'Results Raw'!$N$62)/1000000000</x:f>
        <x:v>-9.905506005786362</x:v>
      </x:c>
      <x:c r="G65" s="31" t="n">
        <x:f>IF(ABS('Results Raw'!$O$62)+ABS('Results Raw'!$N$62)=0,"",2*('Results Raw'!$O$62-'Results Raw'!$N$62)/(ABS('Results Raw'!$O$62)+ABS('Results Raw'!$N$62)))</x:f>
        <x:v>-0.2240013327498882</x:v>
      </x:c>
      <x:c r="H65" s="31" t="n">
        <x:f>'Results Raw'!$Z$62/100</x:f>
        <x:v>-0.20477621028670934</x:v>
      </x:c>
      <x:c r="I65" s="31" t="n">
        <x:f>'Results Raw'!$AA$62/100</x:f>
        <x:v>0.00250263607603215</x:v>
      </x:c>
      <x:c r="J65" s="31" t="n">
        <x:f>'Results Raw'!$AB$62/100</x:f>
        <x:v>0.0008336474882237047</x:v>
      </x:c>
      <x:c r="K65" s="35" t="n">
        <x:f>ABS(E65-SUM(H65:J65))</x:f>
        <x:v>0</x:v>
      </x:c>
      <x:c r="L65" s="37" t="n">
        <x:f>('Results Raw'!$W$62+'Results Raw'!$X$62+'Results Raw'!$Y$62)/1000000000</x:f>
        <x:v>0.42599972472919173</x:v>
      </x:c>
      <x:c r="M65" s="37" t="n">
        <x:f>'Results Raw'!$R$62/1000000000</x:f>
        <x:v>-0.4259997247291918</x:v>
      </x:c>
      <x:c r="N65" s="37" t="n">
        <x:f>ABS('Results Raw'!$R$62+'Results Raw'!$W$62+'Results Raw'!$X$62+'Results Raw'!$Y$62)/1000000000</x:f>
        <x:v>4.470348358154297e-17</x:v>
      </x:c>
      <x:c r="O65" s="39" t="n">
        <x:f>IF(MIN(ABS('Results Raw'!$O$62),ABS('Results Raw'!$N$62))=0,"",MAX(ABS('Results Raw'!$O$62)/ABS('Results Raw'!$N$62),ABS('Results Raw'!$N$62)/ABS('Results Raw'!$O$62)))</x:f>
        <x:v>1.252253942393688</x:v>
      </x:c>
      <x:c r="P65" s="41" t="n">
        <x:f>IF('Results Raw'!$AO$62="","",'Results Raw'!$AO$62/100)</x:f>
        <x:v>0.9795918367346939</x:v>
      </x:c>
      <x:c r="Q65" s="29" t="str">
        <x:f>'Results Raw'!$AP$62</x:f>
        <x:v>High</x:v>
      </x:c>
      <x:c r="R65" s="29" t="str">
        <x:f>IF(Q65="Unverified","PROXY / UNVERIFIED",IF(P65="","MISSING COVERAGE",IF(P65&lt;75%,"LIMITED COVERAGE","VERIFIED")))</x:f>
        <x:v>VERIFIED</x:v>
      </x:c>
      <x:c r="S65" s="29" t="str">
        <x:f>IF(N65&gt;0.000001,"TERMINAL FCFF FLOOR",IF(OR('Results Raw'!$BK$62=TRUE,'Results Raw'!$BL$62=TRUE),"EV FLOOR",IF(OR(O65="",O65&gt;=4),"DENOMINATOR-SENSITIVE","NORMAL")))</x:f>
        <x:v>NORMAL</x:v>
      </x:c>
      <x:c r="T65" s="29" t="str">
        <x:f>IF(OR(R65="PROXY / UNVERIFIED",R65="MISSING COVERAGE",S65&lt;&gt;"NORMAL"),"EXCLUDE",IF(R65="LIMITED COVERAGE","CAUTION","RANKABLE"))</x:f>
        <x:v>RANKABLE</x:v>
      </x:c>
      <x:c r="U65" s="43" t="str">
        <x:f>IF(T65="EXCLUDE","Illustrative only - do not assign an ordinary rank",IF(T65="CAUTION","Use with facility-coverage caveat","Decision-useable within the stated scenario only"))</x:f>
        <x:v>Decision-useable within the stated scenario only</x:v>
      </x:c>
    </x:row>
    <x:row r="66">
      <x:c r="A66" s="29" t="str">
        <x:f>'Results Raw'!$A$63</x:f>
        <x:v>DUK</x:v>
      </x:c>
      <x:c r="B66" s="29" t="str">
        <x:f>'Results Raw'!$B$63</x:f>
        <x:v>Utilities</x:v>
      </x:c>
      <x:c r="C66" s="29" t="str">
        <x:f>'Results Raw'!$E$63</x:f>
        <x:v>Below 2°C vs CP</x:v>
      </x:c>
      <x:c r="D66" s="29" t="str">
        <x:f>'Results Raw'!$I$63</x:f>
        <x:v>base</x:v>
      </x:c>
      <x:c r="E66" s="31" t="n">
        <x:f>'Results Raw'!$M$63/100</x:f>
        <x:v>-0.7552051808556015</x:v>
      </x:c>
      <x:c r="F66" s="33" t="n">
        <x:f>('Results Raw'!$O$63-'Results Raw'!$N$63)/1000000000</x:f>
        <x:v>-36.067209101523495</x:v>
      </x:c>
      <x:c r="G66" s="31" t="n">
        <x:f>IF(ABS('Results Raw'!$O$63)+ABS('Results Raw'!$N$63)=0,"",2*('Results Raw'!$O$63-'Results Raw'!$N$63)/(ABS('Results Raw'!$O$63)+ABS('Results Raw'!$N$63)))</x:f>
        <x:v>-1.2133809833409928</x:v>
      </x:c>
      <x:c r="H66" s="31" t="n">
        <x:f>'Results Raw'!$Z$63/100</x:f>
        <x:v>-0.7638457065049846</x:v>
      </x:c>
      <x:c r="I66" s="31" t="n">
        <x:f>'Results Raw'!$AA$63/100</x:f>
        <x:v>0.007169063192867365</x:v>
      </x:c>
      <x:c r="J66" s="31" t="n">
        <x:f>'Results Raw'!$AB$63/100</x:f>
        <x:v>0.0014714624565157358</x:v>
      </x:c>
      <x:c r="K66" s="35" t="n">
        <x:f>ABS(E66-SUM(H66:J66))</x:f>
        <x:v>0</x:v>
      </x:c>
      <x:c r="L66" s="37" t="n">
        <x:f>('Results Raw'!$W$63+'Results Raw'!$X$63+'Results Raw'!$Y$63)/1000000000</x:f>
        <x:v>1.8141218724074417</x:v>
      </x:c>
      <x:c r="M66" s="37" t="n">
        <x:f>'Results Raw'!$R$63/1000000000</x:f>
        <x:v>-1.8141218724074413</x:v>
      </x:c>
      <x:c r="N66" s="37" t="n">
        <x:f>ABS('Results Raw'!$R$63+'Results Raw'!$W$63+'Results Raw'!$X$63+'Results Raw'!$Y$63)/1000000000</x:f>
        <x:v>2.3096799850463867e-16</x:v>
      </x:c>
      <x:c r="O66" s="39" t="n">
        <x:f>IF(MIN(ABS('Results Raw'!$O$63),ABS('Results Raw'!$N$63))=0,"",MAX(ABS('Results Raw'!$O$63)/ABS('Results Raw'!$N$63),ABS('Results Raw'!$N$63)/ABS('Results Raw'!$O$63)))</x:f>
        <x:v>4.085053774810997</x:v>
      </x:c>
      <x:c r="P66" s="41" t="n">
        <x:f>IF('Results Raw'!$AO$63="","",'Results Raw'!$AO$63/100)</x:f>
        <x:v>0.9795918367346939</x:v>
      </x:c>
      <x:c r="Q66" s="29" t="str">
        <x:f>'Results Raw'!$AP$63</x:f>
        <x:v>High</x:v>
      </x:c>
      <x:c r="R66" s="29" t="str">
        <x:f>IF(Q66="Unverified","PROXY / UNVERIFIED",IF(P66="","MISSING COVERAGE",IF(P66&lt;75%,"LIMITED COVERAGE","VERIFIED")))</x:f>
        <x:v>VERIFIED</x:v>
      </x:c>
      <x:c r="S66" s="29" t="str">
        <x:f>IF(N66&gt;0.000001,"TERMINAL FCFF FLOOR",IF(OR('Results Raw'!$BK$63=TRUE,'Results Raw'!$BL$63=TRUE),"EV FLOOR",IF(OR(O66="",O66&gt;=4),"DENOMINATOR-SENSITIVE","NORMAL")))</x:f>
        <x:v>DENOMINATOR-SENSITIVE</x:v>
      </x:c>
      <x:c r="T66" s="29" t="str">
        <x:f>IF(OR(R66="PROXY / UNVERIFIED",R66="MISSING COVERAGE",S66&lt;&gt;"NORMAL"),"EXCLUDE",IF(R66="LIMITED COVERAGE","CAUTION","RANKABLE"))</x:f>
        <x:v>EXCLUDE</x:v>
      </x:c>
      <x:c r="U66" s="43" t="str">
        <x:f>IF(T66="EXCLUDE","Illustrative only - do not assign an ordinary rank",IF(T66="CAUTION","Use with facility-coverage caveat","Decision-useable within the stated scenario only"))</x:f>
        <x:v>Illustrative only - do not assign an ordinary rank</x:v>
      </x:c>
    </x:row>
    <x:row r="67">
      <x:c r="A67" s="29" t="str">
        <x:f>'Results Raw'!$A$64</x:f>
        <x:v>DUK</x:v>
      </x:c>
      <x:c r="B67" s="29" t="str">
        <x:f>'Results Raw'!$B$64</x:f>
        <x:v>Utilities</x:v>
      </x:c>
      <x:c r="C67" s="29" t="str">
        <x:f>'Results Raw'!$E$64</x:f>
        <x:v>Below 2°C vs CP</x:v>
      </x:c>
      <x:c r="D67" s="29" t="str">
        <x:f>'Results Raw'!$I$64</x:f>
        <x:v>high</x:v>
      </x:c>
      <x:c r="E67" s="31" t="n">
        <x:f>'Results Raw'!$M$64/100</x:f>
        <x:v>-0.9716341494579511</x:v>
      </x:c>
      <x:c r="F67" s="33" t="n">
        <x:f>('Results Raw'!$O$64-'Results Raw'!$N$64)/1000000000</x:f>
        <x:v>-43.92738033685633</x:v>
      </x:c>
      <x:c r="G67" s="31" t="n">
        <x:f>IF(ABS('Results Raw'!$O$64)+ABS('Results Raw'!$N$64)=0,"",2*('Results Raw'!$O$64-'Results Raw'!$N$64)/(ABS('Results Raw'!$O$64)+ABS('Results Raw'!$N$64)))</x:f>
        <x:v>-1.8896663068805823</x:v>
      </x:c>
      <x:c r="H67" s="31" t="n">
        <x:f>'Results Raw'!$Z$64/100</x:f>
        <x:v>-0.9801907601262263</x:v>
      </x:c>
      <x:c r="I67" s="31" t="n">
        <x:f>'Results Raw'!$AA$64/100</x:f>
        <x:v>0.0072549417006733475</x:v>
      </x:c>
      <x:c r="J67" s="31" t="n">
        <x:f>'Results Raw'!$AB$64/100</x:f>
        <x:v>0.0013016689676017676</x:v>
      </x:c>
      <x:c r="K67" s="35" t="n">
        <x:f>ABS(E67-SUM(H67:J67))</x:f>
        <x:v>1.1102230246251565e-16</x:v>
      </x:c>
      <x:c r="L67" s="37" t="n">
        <x:f>('Results Raw'!$W$64+'Results Raw'!$X$64+'Results Raw'!$Y$64)/1000000000</x:f>
        <x:v>5.685885912155957</x:v>
      </x:c>
      <x:c r="M67" s="37" t="n">
        <x:f>'Results Raw'!$R$64/1000000000</x:f>
        <x:v>-2.1806798623662855</x:v>
      </x:c>
      <x:c r="N67" s="37" t="n">
        <x:f>ABS('Results Raw'!$R$64+'Results Raw'!$W$64+'Results Raw'!$X$64+'Results Raw'!$Y$64)/1000000000</x:f>
        <x:v>3.5052060497896718</x:v>
      </x:c>
      <x:c r="O67" s="39" t="n">
        <x:f>IF(MIN(ABS('Results Raw'!$O$64),ABS('Results Raw'!$N$64))=0,"",MAX(ABS('Results Raw'!$O$64)/ABS('Results Raw'!$N$64),ABS('Results Raw'!$N$64)/ABS('Results Raw'!$O$64)))</x:f>
        <x:v>35.253658215452546</x:v>
      </x:c>
      <x:c r="P67" s="41" t="n">
        <x:f>IF('Results Raw'!$AO$64="","",'Results Raw'!$AO$64/100)</x:f>
        <x:v>0.9795918367346939</x:v>
      </x:c>
      <x:c r="Q67" s="29" t="str">
        <x:f>'Results Raw'!$AP$64</x:f>
        <x:v>High</x:v>
      </x:c>
      <x:c r="R67" s="29" t="str">
        <x:f>IF(Q67="Unverified","PROXY / UNVERIFIED",IF(P67="","MISSING COVERAGE",IF(P67&lt;75%,"LIMITED COVERAGE","VERIFIED")))</x:f>
        <x:v>VERIFIED</x:v>
      </x:c>
      <x:c r="S67" s="29" t="str">
        <x:f>IF(N67&gt;0.000001,"TERMINAL FCFF FLOOR",IF(OR('Results Raw'!$BK$64=TRUE,'Results Raw'!$BL$64=TRUE),"EV FLOOR",IF(OR(O67="",O67&gt;=4),"DENOMINATOR-SENSITIVE","NORMAL")))</x:f>
        <x:v>TERMINAL FCFF FLOOR</x:v>
      </x:c>
      <x:c r="T67" s="29" t="str">
        <x:f>IF(OR(R67="PROXY / UNVERIFIED",R67="MISSING COVERAGE",S67&lt;&gt;"NORMAL"),"EXCLUDE",IF(R67="LIMITED COVERAGE","CAUTION","RANKABLE"))</x:f>
        <x:v>EXCLUDE</x:v>
      </x:c>
      <x:c r="U67" s="43" t="str">
        <x:f>IF(T67="EXCLUDE","Illustrative only - do not assign an ordinary rank",IF(T67="CAUTION","Use with facility-coverage caveat","Decision-useable within the stated scenario only"))</x:f>
        <x:v>Illustrative only - do not assign an ordinary rank</x:v>
      </x:c>
    </x:row>
    <x:row r="68">
      <x:c r="A68" s="29" t="str">
        <x:f>'Results Raw'!$A$65</x:f>
        <x:v>MSFT</x:v>
      </x:c>
      <x:c r="B68" s="29" t="str">
        <x:f>'Results Raw'!$B$65</x:f>
        <x:v>Technology</x:v>
      </x:c>
      <x:c r="C68" s="29" t="str">
        <x:f>'Results Raw'!$E$65</x:f>
        <x:v>Below 2°C vs CP</x:v>
      </x:c>
      <x:c r="D68" s="29" t="str">
        <x:f>'Results Raw'!$I$65</x:f>
        <x:v>low</x:v>
      </x:c>
      <x:c r="E68" s="31" t="n">
        <x:f>'Results Raw'!$M$65/100</x:f>
        <x:v>0.0003383746696004053</x:v>
      </x:c>
      <x:c r="F68" s="33" t="n">
        <x:f>('Results Raw'!$O$65-'Results Raw'!$N$65)/1000000000</x:f>
        <x:v>0.3561348597681885</x:v>
      </x:c>
      <x:c r="G68" s="31" t="n">
        <x:f>IF(ABS('Results Raw'!$O$65)+ABS('Results Raw'!$N$65)=0,"",2*('Results Raw'!$O$65-'Results Raw'!$N$65)/(ABS('Results Raw'!$O$65)+ABS('Results Raw'!$N$65)))</x:f>
        <x:v>0.00033831743057609966</x:v>
      </x:c>
      <x:c r="H68" s="31" t="n">
        <x:f>'Results Raw'!$Z$65/100</x:f>
        <x:v>-0.00002691603708419816</x:v>
      </x:c>
      <x:c r="I68" s="31" t="n">
        <x:f>'Results Raw'!$AA$65/100</x:f>
        <x:v>0.000022551548241010114</x:v>
      </x:c>
      <x:c r="J68" s="31" t="n">
        <x:f>'Results Raw'!$AB$65/100</x:f>
        <x:v>0.00034273915844368336</x:v>
      </x:c>
      <x:c r="K68" s="35" t="n">
        <x:f>ABS(E68-SUM(H68:J68))</x:f>
        <x:v>8.998878031629687e-17</x:v>
      </x:c>
      <x:c r="L68" s="37" t="n">
        <x:f>('Results Raw'!$W$65+'Results Raw'!$X$65+'Results Raw'!$Y$65)/1000000000</x:f>
        <x:v>-0.09688215952741104</x:v>
      </x:c>
      <x:c r="M68" s="37" t="n">
        <x:f>'Results Raw'!$R$65/1000000000</x:f>
        <x:v>0.09688215952740478</x:v>
      </x:c>
      <x:c r="N68" s="37" t="n">
        <x:f>ABS('Results Raw'!$R$65+'Results Raw'!$W$65+'Results Raw'!$X$65+'Results Raw'!$Y$65)/1000000000</x:f>
        <x:v>6.258487701416016e-15</x:v>
      </x:c>
      <x:c r="O68" s="39" t="n">
        <x:f>IF(MIN(ABS('Results Raw'!$O$65),ABS('Results Raw'!$N$65))=0,"",MAX(ABS('Results Raw'!$O$65)/ABS('Results Raw'!$N$65),ABS('Results Raw'!$N$65)/ABS('Results Raw'!$O$65)))</x:f>
        <x:v>1.0003383746696004</x:v>
      </x:c>
      <x:c r="P68" s="41" t="str">
        <x:f>IF('Results Raw'!$AO$65="","",'Results Raw'!$AO$65/100)</x:f>
      </x:c>
      <x:c r="Q68" s="29" t="str">
        <x:f>'Results Raw'!$AP$65</x:f>
        <x:v>Unverified</x:v>
      </x:c>
      <x:c r="R68" s="29" t="str">
        <x:f>IF(Q68="Unverified","PROXY / UNVERIFIED",IF(P68="","MISSING COVERAGE",IF(P68&lt;75%,"LIMITED COVERAGE","VERIFIED")))</x:f>
        <x:v>PROXY / UNVERIFIED</x:v>
      </x:c>
      <x:c r="S68" s="29" t="str">
        <x:f>IF(N68&gt;0.000001,"TERMINAL FCFF FLOOR",IF(OR('Results Raw'!$BK$65=TRUE,'Results Raw'!$BL$65=TRUE),"EV FLOOR",IF(OR(O68="",O68&gt;=4),"DENOMINATOR-SENSITIVE","NORMAL")))</x:f>
        <x:v>NORMAL</x:v>
      </x:c>
      <x:c r="T68" s="29" t="str">
        <x:f>IF(OR(R68="PROXY / UNVERIFIED",R68="MISSING COVERAGE",S68&lt;&gt;"NORMAL"),"EXCLUDE",IF(R68="LIMITED COVERAGE","CAUTION","RANKABLE"))</x:f>
        <x:v>EXCLUDE</x:v>
      </x:c>
      <x:c r="U68" s="43" t="str">
        <x:f>IF(T68="EXCLUDE","Illustrative only - do not assign an ordinary rank",IF(T68="CAUTION","Use with facility-coverage caveat","Decision-useable within the stated scenario only"))</x:f>
        <x:v>Illustrative only - do not assign an ordinary rank</x:v>
      </x:c>
    </x:row>
    <x:row r="69">
      <x:c r="A69" s="29" t="str">
        <x:f>'Results Raw'!$A$66</x:f>
        <x:v>MSFT</x:v>
      </x:c>
      <x:c r="B69" s="29" t="str">
        <x:f>'Results Raw'!$B$66</x:f>
        <x:v>Technology</x:v>
      </x:c>
      <x:c r="C69" s="29" t="str">
        <x:f>'Results Raw'!$E$66</x:f>
        <x:v>Below 2°C vs CP</x:v>
      </x:c>
      <x:c r="D69" s="29" t="str">
        <x:f>'Results Raw'!$I$66</x:f>
        <x:v>base</x:v>
      </x:c>
      <x:c r="E69" s="31" t="n">
        <x:f>'Results Raw'!$M$66/100</x:f>
        <x:v>0.0005424478133466692</x:v>
      </x:c>
      <x:c r="F69" s="33" t="n">
        <x:f>('Results Raw'!$O$66-'Results Raw'!$N$66)/1000000000</x:f>
        <x:v>0.5687656896663819</x:v>
      </x:c>
      <x:c r="G69" s="31" t="n">
        <x:f>IF(ABS('Results Raw'!$O$66)+ABS('Results Raw'!$N$66)=0,"",2*('Results Raw'!$O$66-'Results Raw'!$N$66)/(ABS('Results Raw'!$O$66)+ABS('Results Raw'!$N$66)))</x:f>
        <x:v>0.00054230072842443</x:v>
      </x:c>
      <x:c r="H69" s="31" t="n">
        <x:f>'Results Raw'!$Z$66/100</x:f>
        <x:v>-0.00011649176941951655</x:v>
      </x:c>
      <x:c r="I69" s="31" t="n">
        <x:f>'Results Raw'!$AA$66/100</x:f>
        <x:v>0.00006916215606179782</x:v>
      </x:c>
      <x:c r="J69" s="31" t="n">
        <x:f>'Results Raw'!$AB$66/100</x:f>
        <x:v>0.0005897774267043037</x:v>
      </x:c>
      <x:c r="K69" s="35" t="n">
        <x:f>ABS(E69-SUM(H69:J69))</x:f>
        <x:v>8.42425088021237e-17</x:v>
      </x:c>
      <x:c r="L69" s="37" t="n">
        <x:f>('Results Raw'!$W$66+'Results Raw'!$X$66+'Results Raw'!$Y$66)/1000000000</x:f>
        <x:v>-0.16488441550136676</x:v>
      </x:c>
      <x:c r="M69" s="37" t="n">
        <x:f>'Results Raw'!$R$66/1000000000</x:f>
        <x:v>0.16488441550137328</x:v>
      </x:c>
      <x:c r="N69" s="37" t="n">
        <x:f>ABS('Results Raw'!$R$66+'Results Raw'!$W$66+'Results Raw'!$X$66+'Results Raw'!$Y$66)/1000000000</x:f>
        <x:v>6.526708602905273e-15</x:v>
      </x:c>
      <x:c r="O69" s="39" t="n">
        <x:f>IF(MIN(ABS('Results Raw'!$O$66),ABS('Results Raw'!$N$66))=0,"",MAX(ABS('Results Raw'!$O$66)/ABS('Results Raw'!$N$66),ABS('Results Raw'!$N$66)/ABS('Results Raw'!$O$66)))</x:f>
        <x:v>1.0005424478133467</x:v>
      </x:c>
      <x:c r="P69" s="41" t="str">
        <x:f>IF('Results Raw'!$AO$66="","",'Results Raw'!$AO$66/100)</x:f>
      </x:c>
      <x:c r="Q69" s="29" t="str">
        <x:f>'Results Raw'!$AP$66</x:f>
        <x:v>Unverified</x:v>
      </x:c>
      <x:c r="R69" s="29" t="str">
        <x:f>IF(Q69="Unverified","PROXY / UNVERIFIED",IF(P69="","MISSING COVERAGE",IF(P69&lt;75%,"LIMITED COVERAGE","VERIFIED")))</x:f>
        <x:v>PROXY / UNVERIFIED</x:v>
      </x:c>
      <x:c r="S69" s="29" t="str">
        <x:f>IF(N69&gt;0.000001,"TERMINAL FCFF FLOOR",IF(OR('Results Raw'!$BK$66=TRUE,'Results Raw'!$BL$66=TRUE),"EV FLOOR",IF(OR(O69="",O69&gt;=4),"DENOMINATOR-SENSITIVE","NORMAL")))</x:f>
        <x:v>NORMAL</x:v>
      </x:c>
      <x:c r="T69" s="29" t="str">
        <x:f>IF(OR(R69="PROXY / UNVERIFIED",R69="MISSING COVERAGE",S69&lt;&gt;"NORMAL"),"EXCLUDE",IF(R69="LIMITED COVERAGE","CAUTION","RANKABLE"))</x:f>
        <x:v>EXCLUDE</x:v>
      </x:c>
      <x:c r="U69" s="43" t="str">
        <x:f>IF(T69="EXCLUDE","Illustrative only - do not assign an ordinary rank",IF(T69="CAUTION","Use with facility-coverage caveat","Decision-useable within the stated scenario only"))</x:f>
        <x:v>Illustrative only - do not assign an ordinary rank</x:v>
      </x:c>
    </x:row>
    <x:row r="70">
      <x:c r="A70" s="29" t="str">
        <x:f>'Results Raw'!$A$67</x:f>
        <x:v>MSFT</x:v>
      </x:c>
      <x:c r="B70" s="29" t="str">
        <x:f>'Results Raw'!$B$67</x:f>
        <x:v>Technology</x:v>
      </x:c>
      <x:c r="C70" s="29" t="str">
        <x:f>'Results Raw'!$E$67</x:f>
        <x:v>Below 2°C vs CP</x:v>
      </x:c>
      <x:c r="D70" s="29" t="str">
        <x:f>'Results Raw'!$I$67</x:f>
        <x:v>high</x:v>
      </x:c>
      <x:c r="E70" s="31" t="n">
        <x:f>'Results Raw'!$M$67/100</x:f>
        <x:v>0.0007659645646627133</x:v>
      </x:c>
      <x:c r="F70" s="33" t="n">
        <x:f>('Results Raw'!$O$67-'Results Raw'!$N$67)/1000000000</x:f>
        <x:v>0.7967092086898193</x:v>
      </x:c>
      <x:c r="G70" s="31" t="n">
        <x:f>IF(ABS('Results Raw'!$O$67)+ABS('Results Raw'!$N$67)=0,"",2*('Results Raw'!$O$67-'Results Raw'!$N$67)/(ABS('Results Raw'!$O$67)+ABS('Results Raw'!$N$67)))</x:f>
        <x:v>0.0007656713261107332</x:v>
      </x:c>
      <x:c r="H70" s="31" t="n">
        <x:f>'Results Raw'!$Z$67/100</x:f>
        <x:v>-0.00040645764793856927</x:v>
      </x:c>
      <x:c r="I70" s="31" t="n">
        <x:f>'Results Raw'!$AA$67/100</x:f>
        <x:v>0.0001815419798174688</x:v>
      </x:c>
      <x:c r="J70" s="31" t="n">
        <x:f>'Results Raw'!$AB$67/100</x:f>
        <x:v>0.0009908802327838232</x:v>
      </x:c>
      <x:c r="K70" s="35" t="n">
        <x:f>ABS(E70-SUM(H70:J70))</x:f>
        <x:v>9.432558900623889e-18</x:v>
      </x:c>
      <x:c r="L70" s="37" t="n">
        <x:f>('Results Raw'!$W$67+'Results Raw'!$X$67+'Results Raw'!$Y$67)/1000000000</x:f>
        <x:v>-0.256541670034102</x:v>
      </x:c>
      <x:c r="M70" s="37" t="n">
        <x:f>'Results Raw'!$R$67/1000000000</x:f>
        <x:v>0.2565416700341034</x:v>
      </x:c>
      <x:c r="N70" s="37" t="n">
        <x:f>ABS('Results Raw'!$R$67+'Results Raw'!$W$67+'Results Raw'!$X$67+'Results Raw'!$Y$67)/1000000000</x:f>
        <x:v>1.3709068298339844e-15</x:v>
      </x:c>
      <x:c r="O70" s="39" t="n">
        <x:f>IF(MIN(ABS('Results Raw'!$O$67),ABS('Results Raw'!$N$67))=0,"",MAX(ABS('Results Raw'!$O$67)/ABS('Results Raw'!$N$67),ABS('Results Raw'!$N$67)/ABS('Results Raw'!$O$67)))</x:f>
        <x:v>1.0007659645646627</x:v>
      </x:c>
      <x:c r="P70" s="41" t="str">
        <x:f>IF('Results Raw'!$AO$67="","",'Results Raw'!$AO$67/100)</x:f>
      </x:c>
      <x:c r="Q70" s="29" t="str">
        <x:f>'Results Raw'!$AP$67</x:f>
        <x:v>Unverified</x:v>
      </x:c>
      <x:c r="R70" s="29" t="str">
        <x:f>IF(Q70="Unverified","PROXY / UNVERIFIED",IF(P70="","MISSING COVERAGE",IF(P70&lt;75%,"LIMITED COVERAGE","VERIFIED")))</x:f>
        <x:v>PROXY / UNVERIFIED</x:v>
      </x:c>
      <x:c r="S70" s="29" t="str">
        <x:f>IF(N70&gt;0.000001,"TERMINAL FCFF FLOOR",IF(OR('Results Raw'!$BK$67=TRUE,'Results Raw'!$BL$67=TRUE),"EV FLOOR",IF(OR(O70="",O70&gt;=4),"DENOMINATOR-SENSITIVE","NORMAL")))</x:f>
        <x:v>NORMAL</x:v>
      </x:c>
      <x:c r="T70" s="29" t="str">
        <x:f>IF(OR(R70="PROXY / UNVERIFIED",R70="MISSING COVERAGE",S70&lt;&gt;"NORMAL"),"EXCLUDE",IF(R70="LIMITED COVERAGE","CAUTION","RANKABLE"))</x:f>
        <x:v>EXCLUDE</x:v>
      </x:c>
      <x:c r="U70" s="43" t="str">
        <x:f>IF(T70="EXCLUDE","Illustrative only - do not assign an ordinary rank",IF(T70="CAUTION","Use with facility-coverage caveat","Decision-useable within the stated scenario only"))</x:f>
        <x:v>Illustrative only - do not assign an ordinary rank</x:v>
      </x:c>
    </x:row>
    <x:row r="71">
      <x:c r="A71" s="29" t="str">
        <x:f>'Results Raw'!$A$68</x:f>
        <x:v>NEE</x:v>
      </x:c>
      <x:c r="B71" s="29" t="str">
        <x:f>'Results Raw'!$B$68</x:f>
        <x:v>Utilities</x:v>
      </x:c>
      <x:c r="C71" s="29" t="str">
        <x:f>'Results Raw'!$E$68</x:f>
        <x:v>Below 2°C vs CP</x:v>
      </x:c>
      <x:c r="D71" s="29" t="str">
        <x:f>'Results Raw'!$I$68</x:f>
        <x:v>low</x:v>
      </x:c>
      <x:c r="E71" s="31" t="n">
        <x:f>'Results Raw'!$M$68/100</x:f>
        <x:v>-0.016298581562398717</x:v>
      </x:c>
      <x:c r="F71" s="33" t="n">
        <x:f>('Results Raw'!$O$68-'Results Raw'!$N$68)/1000000000</x:f>
        <x:v>-3.349116665157471</x:v>
      </x:c>
      <x:c r="G71" s="31" t="n">
        <x:f>IF(ABS('Results Raw'!$O$68)+ABS('Results Raw'!$N$68)=0,"",2*('Results Raw'!$O$68-'Results Raw'!$N$68)/(ABS('Results Raw'!$O$68)+ABS('Results Raw'!$N$68)))</x:f>
        <x:v>-0.016432494740297923</x:v>
      </x:c>
      <x:c r="H71" s="31" t="n">
        <x:f>'Results Raw'!$Z$68/100</x:f>
        <x:v>-0.017744636415377994</x:v>
      </x:c>
      <x:c r="I71" s="31" t="n">
        <x:f>'Results Raw'!$AA$68/100</x:f>
        <x:v>0.0005890484418148375</x:v>
      </x:c>
      <x:c r="J71" s="31" t="n">
        <x:f>'Results Raw'!$AB$68/100</x:f>
        <x:v>0.0008570064111644505</x:v>
      </x:c>
      <x:c r="K71" s="35" t="n">
        <x:f>ABS(E71-SUM(H71:J71))</x:f>
        <x:v>1.0408340855860843e-17</x:v>
      </x:c>
      <x:c r="L71" s="37" t="n">
        <x:f>('Results Raw'!$W$68+'Results Raw'!$X$68+'Results Raw'!$Y$68)/1000000000</x:f>
        <x:v>0.2003660617138348</x:v>
      </x:c>
      <x:c r="M71" s="37" t="n">
        <x:f>'Results Raw'!$R$68/1000000000</x:f>
        <x:v>-0.20036606171383475</x:v>
      </x:c>
      <x:c r="N71" s="37" t="n">
        <x:f>ABS('Results Raw'!$R$68+'Results Raw'!$W$68+'Results Raw'!$X$68+'Results Raw'!$Y$68)/1000000000</x:f>
        <x:v>7.450580596923828e-17</x:v>
      </x:c>
      <x:c r="O71" s="39" t="n">
        <x:f>IF(MIN(ABS('Results Raw'!$O$68),ABS('Results Raw'!$N$68))=0,"",MAX(ABS('Results Raw'!$O$68)/ABS('Results Raw'!$N$68),ABS('Results Raw'!$N$68)/ABS('Results Raw'!$O$68)))</x:f>
        <x:v>1.0165686266756486</x:v>
      </x:c>
      <x:c r="P71" s="41" t="n">
        <x:f>IF('Results Raw'!$AO$68="","",'Results Raw'!$AO$68/100)</x:f>
        <x:v>0.8518518518518519</x:v>
      </x:c>
      <x:c r="Q71" s="29" t="str">
        <x:f>'Results Raw'!$AP$68</x:f>
        <x:v>High</x:v>
      </x:c>
      <x:c r="R71" s="29" t="str">
        <x:f>IF(Q71="Unverified","PROXY / UNVERIFIED",IF(P71="","MISSING COVERAGE",IF(P71&lt;75%,"LIMITED COVERAGE","VERIFIED")))</x:f>
        <x:v>VERIFIED</x:v>
      </x:c>
      <x:c r="S71" s="29" t="str">
        <x:f>IF(N71&gt;0.000001,"TERMINAL FCFF FLOOR",IF(OR('Results Raw'!$BK$68=TRUE,'Results Raw'!$BL$68=TRUE),"EV FLOOR",IF(OR(O71="",O71&gt;=4),"DENOMINATOR-SENSITIVE","NORMAL")))</x:f>
        <x:v>NORMAL</x:v>
      </x:c>
      <x:c r="T71" s="29" t="str">
        <x:f>IF(OR(R71="PROXY / UNVERIFIED",R71="MISSING COVERAGE",S71&lt;&gt;"NORMAL"),"EXCLUDE",IF(R71="LIMITED COVERAGE","CAUTION","RANKABLE"))</x:f>
        <x:v>RANKABLE</x:v>
      </x:c>
      <x:c r="U71" s="43" t="str">
        <x:f>IF(T71="EXCLUDE","Illustrative only - do not assign an ordinary rank",IF(T71="CAUTION","Use with facility-coverage caveat","Decision-useable within the stated scenario only"))</x:f>
        <x:v>Decision-useable within the stated scenario only</x:v>
      </x:c>
    </x:row>
    <x:row r="72">
      <x:c r="A72" s="29" t="str">
        <x:f>'Results Raw'!$A$69</x:f>
        <x:v>NEE</x:v>
      </x:c>
      <x:c r="B72" s="29" t="str">
        <x:f>'Results Raw'!$B$69</x:f>
        <x:v>Utilities</x:v>
      </x:c>
      <x:c r="C72" s="29" t="str">
        <x:f>'Results Raw'!$E$69</x:f>
        <x:v>Below 2°C vs CP</x:v>
      </x:c>
      <x:c r="D72" s="29" t="str">
        <x:f>'Results Raw'!$I$69</x:f>
        <x:v>base</x:v>
      </x:c>
      <x:c r="E72" s="31" t="n">
        <x:f>'Results Raw'!$M$69/100</x:f>
        <x:v>-0.05855085956499561</x:v>
      </x:c>
      <x:c r="F72" s="33" t="n">
        <x:f>('Results Raw'!$O$69-'Results Raw'!$N$69)/1000000000</x:f>
        <x:v>-11.895577477971832</x:v>
      </x:c>
      <x:c r="G72" s="31" t="n">
        <x:f>IF(ABS('Results Raw'!$O$69)+ABS('Results Raw'!$N$69)=0,"",2*('Results Raw'!$O$69-'Results Raw'!$N$69)/(ABS('Results Raw'!$O$69)+ABS('Results Raw'!$N$69)))</x:f>
        <x:v>-0.060316655580147344</x:v>
      </x:c>
      <x:c r="H72" s="31" t="n">
        <x:f>'Results Raw'!$Z$69/100</x:f>
        <x:v>-0.06170029065862198</x:v>
      </x:c>
      <x:c r="I72" s="31" t="n">
        <x:f>'Results Raw'!$AA$69/100</x:f>
        <x:v>0.001663510888280128</x:v>
      </x:c>
      <x:c r="J72" s="31" t="n">
        <x:f>'Results Raw'!$AB$69/100</x:f>
        <x:v>0.0014859202053462191</x:v>
      </x:c>
      <x:c r="K72" s="35" t="n">
        <x:f>ABS(E72-SUM(H72:J72))</x:f>
        <x:v>2.0816681711721685e-17</x:v>
      </x:c>
      <x:c r="L72" s="37" t="n">
        <x:f>('Results Raw'!$W$69+'Results Raw'!$X$69+'Results Raw'!$Y$69)/1000000000</x:f>
        <x:v>0.9200830899231371</x:v>
      </x:c>
      <x:c r="M72" s="37" t="n">
        <x:f>'Results Raw'!$R$69/1000000000</x:f>
        <x:v>-0.9200830899231377</x:v>
      </x:c>
      <x:c r="N72" s="37" t="n">
        <x:f>ABS('Results Raw'!$R$69+'Results Raw'!$W$69+'Results Raw'!$X$69+'Results Raw'!$Y$69)/1000000000</x:f>
        <x:v>5.364418029785156e-16</x:v>
      </x:c>
      <x:c r="O72" s="39" t="n">
        <x:f>IF(MIN(ABS('Results Raw'!$O$69),ABS('Results Raw'!$N$69))=0,"",MAX(ABS('Results Raw'!$O$69)/ABS('Results Raw'!$N$69),ABS('Results Raw'!$N$69)/ABS('Results Raw'!$O$69)))</x:f>
        <x:v>1.0621922704586482</x:v>
      </x:c>
      <x:c r="P72" s="41" t="n">
        <x:f>IF('Results Raw'!$AO$69="","",'Results Raw'!$AO$69/100)</x:f>
        <x:v>0.8518518518518519</x:v>
      </x:c>
      <x:c r="Q72" s="29" t="str">
        <x:f>'Results Raw'!$AP$69</x:f>
        <x:v>High</x:v>
      </x:c>
      <x:c r="R72" s="29" t="str">
        <x:f>IF(Q72="Unverified","PROXY / UNVERIFIED",IF(P72="","MISSING COVERAGE",IF(P72&lt;75%,"LIMITED COVERAGE","VERIFIED")))</x:f>
        <x:v>VERIFIED</x:v>
      </x:c>
      <x:c r="S72" s="29" t="str">
        <x:f>IF(N72&gt;0.000001,"TERMINAL FCFF FLOOR",IF(OR('Results Raw'!$BK$69=TRUE,'Results Raw'!$BL$69=TRUE),"EV FLOOR",IF(OR(O72="",O72&gt;=4),"DENOMINATOR-SENSITIVE","NORMAL")))</x:f>
        <x:v>NORMAL</x:v>
      </x:c>
      <x:c r="T72" s="29" t="str">
        <x:f>IF(OR(R72="PROXY / UNVERIFIED",R72="MISSING COVERAGE",S72&lt;&gt;"NORMAL"),"EXCLUDE",IF(R72="LIMITED COVERAGE","CAUTION","RANKABLE"))</x:f>
        <x:v>RANKABLE</x:v>
      </x:c>
      <x:c r="U72" s="43" t="str">
        <x:f>IF(T72="EXCLUDE","Illustrative only - do not assign an ordinary rank",IF(T72="CAUTION","Use with facility-coverage caveat","Decision-useable within the stated scenario only"))</x:f>
        <x:v>Decision-useable within the stated scenario only</x:v>
      </x:c>
    </x:row>
    <x:row r="73">
      <x:c r="A73" s="29" t="str">
        <x:f>'Results Raw'!$A$70</x:f>
        <x:v>NEE</x:v>
      </x:c>
      <x:c r="B73" s="29" t="str">
        <x:f>'Results Raw'!$B$70</x:f>
        <x:v>Utilities</x:v>
      </x:c>
      <x:c r="C73" s="29" t="str">
        <x:f>'Results Raw'!$E$70</x:f>
        <x:v>Below 2°C vs CP</x:v>
      </x:c>
      <x:c r="D73" s="29" t="str">
        <x:f>'Results Raw'!$I$70</x:f>
        <x:v>high</x:v>
      </x:c>
      <x:c r="E73" s="31" t="n">
        <x:f>'Results Raw'!$M$70/100</x:f>
        <x:v>-0.15934391762325384</x:v>
      </x:c>
      <x:c r="F73" s="33" t="n">
        <x:f>('Results Raw'!$O$70-'Results Raw'!$N$70)/1000000000</x:f>
        <x:v>-31.72635763375064</x:v>
      </x:c>
      <x:c r="G73" s="31" t="n">
        <x:f>IF(ABS('Results Raw'!$O$70)+ABS('Results Raw'!$N$70)=0,"",2*('Results Raw'!$O$70-'Results Raw'!$N$70)/(ABS('Results Raw'!$O$70)+ABS('Results Raw'!$N$70)))</x:f>
        <x:v>-0.17313817518534058</x:v>
      </x:c>
      <x:c r="H73" s="31" t="n">
        <x:f>'Results Raw'!$Z$70/100</x:f>
        <x:v>-0.1651480179755221</x:v>
      </x:c>
      <x:c r="I73" s="31" t="n">
        <x:f>'Results Raw'!$AA$70/100</x:f>
        <x:v>0.003277062381167853</x:v>
      </x:c>
      <x:c r="J73" s="31" t="n">
        <x:f>'Results Raw'!$AB$70/100</x:f>
        <x:v>0.002527037971100335</x:v>
      </x:c>
      <x:c r="K73" s="35" t="n">
        <x:f>ABS(E73-SUM(H73:J73))</x:f>
        <x:v>5.551115123125783e-17</x:v>
      </x:c>
      <x:c r="L73" s="37" t="n">
        <x:f>('Results Raw'!$W$70+'Results Raw'!$X$70+'Results Raw'!$Y$70)/1000000000</x:f>
        <x:v>2.9636256645007073</x:v>
      </x:c>
      <x:c r="M73" s="37" t="n">
        <x:f>'Results Raw'!$R$70/1000000000</x:f>
        <x:v>-2.9636256645007055</x:v>
      </x:c>
      <x:c r="N73" s="37" t="n">
        <x:f>ABS('Results Raw'!$R$70+'Results Raw'!$W$70+'Results Raw'!$X$70+'Results Raw'!$Y$70)/1000000000</x:f>
        <x:v>1.6391277313232423e-15</x:v>
      </x:c>
      <x:c r="O73" s="39" t="n">
        <x:f>IF(MIN(ABS('Results Raw'!$O$70),ABS('Results Raw'!$N$70))=0,"",MAX(ABS('Results Raw'!$O$70)/ABS('Results Raw'!$N$70),ABS('Results Raw'!$N$70)/ABS('Results Raw'!$O$70)))</x:f>
        <x:v>1.189547094184757</x:v>
      </x:c>
      <x:c r="P73" s="41" t="n">
        <x:f>IF('Results Raw'!$AO$70="","",'Results Raw'!$AO$70/100)</x:f>
        <x:v>0.8518518518518519</x:v>
      </x:c>
      <x:c r="Q73" s="29" t="str">
        <x:f>'Results Raw'!$AP$70</x:f>
        <x:v>High</x:v>
      </x:c>
      <x:c r="R73" s="29" t="str">
        <x:f>IF(Q73="Unverified","PROXY / UNVERIFIED",IF(P73="","MISSING COVERAGE",IF(P73&lt;75%,"LIMITED COVERAGE","VERIFIED")))</x:f>
        <x:v>VERIFIED</x:v>
      </x:c>
      <x:c r="S73" s="29" t="str">
        <x:f>IF(N73&gt;0.000001,"TERMINAL FCFF FLOOR",IF(OR('Results Raw'!$BK$70=TRUE,'Results Raw'!$BL$70=TRUE),"EV FLOOR",IF(OR(O73="",O73&gt;=4),"DENOMINATOR-SENSITIVE","NORMAL")))</x:f>
        <x:v>NORMAL</x:v>
      </x:c>
      <x:c r="T73" s="29" t="str">
        <x:f>IF(OR(R73="PROXY / UNVERIFIED",R73="MISSING COVERAGE",S73&lt;&gt;"NORMAL"),"EXCLUDE",IF(R73="LIMITED COVERAGE","CAUTION","RANKABLE"))</x:f>
        <x:v>RANKABLE</x:v>
      </x:c>
      <x:c r="U73" s="43" t="str">
        <x:f>IF(T73="EXCLUDE","Illustrative only - do not assign an ordinary rank",IF(T73="CAUTION","Use with facility-coverage caveat","Decision-useable within the stated scenario only"))</x:f>
        <x:v>Decision-useable within the stated scenario only</x:v>
      </x:c>
    </x:row>
    <x:row r="74">
      <x:c r="A74" s="29" t="str">
        <x:f>'Results Raw'!$A$71</x:f>
        <x:v>XOM</x:v>
      </x:c>
      <x:c r="B74" s="29" t="str">
        <x:f>'Results Raw'!$B$71</x:f>
        <x:v>Energy</x:v>
      </x:c>
      <x:c r="C74" s="29" t="str">
        <x:f>'Results Raw'!$E$71</x:f>
        <x:v>Below 2°C vs CP</x:v>
      </x:c>
      <x:c r="D74" s="29" t="str">
        <x:f>'Results Raw'!$I$71</x:f>
        <x:v>low</x:v>
      </x:c>
      <x:c r="E74" s="31" t="n">
        <x:f>'Results Raw'!$M$71/100</x:f>
        <x:v>-0.017353295020613335</x:v>
      </x:c>
      <x:c r="F74" s="33" t="n">
        <x:f>('Results Raw'!$O$71-'Results Raw'!$N$71)/1000000000</x:f>
        <x:v>-11.664049547223389</x:v>
      </x:c>
      <x:c r="G74" s="31" t="n">
        <x:f>IF(ABS('Results Raw'!$O$71)+ABS('Results Raw'!$N$71)=0,"",2*('Results Raw'!$O$71-'Results Raw'!$N$71)/(ABS('Results Raw'!$O$71)+ABS('Results Raw'!$N$71)))</x:f>
        <x:v>-0.017505181308430547</x:v>
      </x:c>
      <x:c r="H74" s="31" t="n">
        <x:f>'Results Raw'!$Z$71/100</x:f>
        <x:v>-0.01813560629703949</x:v>
      </x:c>
      <x:c r="I74" s="31" t="n">
        <x:f>'Results Raw'!$AA$71/100</x:f>
        <x:v>0.0002822310333692185</x:v>
      </x:c>
      <x:c r="J74" s="31" t="n">
        <x:f>'Results Raw'!$AB$71/100</x:f>
        <x:v>0.0005000802430569841</x:v>
      </x:c>
      <x:c r="K74" s="35" t="n">
        <x:f>ABS(E74-SUM(H74:J74))</x:f>
        <x:v>4.85722573273506e-17</x:v>
      </x:c>
      <x:c r="L74" s="37" t="n">
        <x:f>('Results Raw'!$W$71+'Results Raw'!$X$71+'Results Raw'!$Y$71)/1000000000</x:f>
        <x:v>0.5460519752691968</x:v>
      </x:c>
      <x:c r="M74" s="37" t="n">
        <x:f>'Results Raw'!$R$71/1000000000</x:f>
        <x:v>-0.5460519752691956</x:v>
      </x:c>
      <x:c r="N74" s="37" t="n">
        <x:f>ABS('Results Raw'!$R$71+'Results Raw'!$W$71+'Results Raw'!$X$71+'Results Raw'!$Y$71)/1000000000</x:f>
        <x:v>1.2069940567016601e-15</x:v>
      </x:c>
      <x:c r="O74" s="39" t="n">
        <x:f>IF(MIN(ABS('Results Raw'!$O$71),ABS('Results Raw'!$N$71))=0,"",MAX(ABS('Results Raw'!$O$71)/ABS('Results Raw'!$N$71),ABS('Results Raw'!$N$71)/ABS('Results Raw'!$O$71)))</x:f>
        <x:v>1.0176597498700994</x:v>
      </x:c>
      <x:c r="P74" s="41" t="n">
        <x:f>IF('Results Raw'!$AO$71="","",'Results Raw'!$AO$71/100)</x:f>
        <x:v>0.7205882352941176</x:v>
      </x:c>
      <x:c r="Q74" s="29" t="str">
        <x:f>'Results Raw'!$AP$71</x:f>
        <x:v>Medium</x:v>
      </x:c>
      <x:c r="R74" s="29" t="str">
        <x:f>IF(Q74="Unverified","PROXY / UNVERIFIED",IF(P74="","MISSING COVERAGE",IF(P74&lt;75%,"LIMITED COVERAGE","VERIFIED")))</x:f>
        <x:v>LIMITED COVERAGE</x:v>
      </x:c>
      <x:c r="S74" s="29" t="str">
        <x:f>IF(N74&gt;0.000001,"TERMINAL FCFF FLOOR",IF(OR('Results Raw'!$BK$71=TRUE,'Results Raw'!$BL$71=TRUE),"EV FLOOR",IF(OR(O74="",O74&gt;=4),"DENOMINATOR-SENSITIVE","NORMAL")))</x:f>
        <x:v>NORMAL</x:v>
      </x:c>
      <x:c r="T74" s="29" t="str">
        <x:f>IF(OR(R74="PROXY / UNVERIFIED",R74="MISSING COVERAGE",S74&lt;&gt;"NORMAL"),"EXCLUDE",IF(R74="LIMITED COVERAGE","CAUTION","RANKABLE"))</x:f>
        <x:v>CAUTION</x:v>
      </x:c>
      <x:c r="U74" s="43" t="str">
        <x:f>IF(T74="EXCLUDE","Illustrative only - do not assign an ordinary rank",IF(T74="CAUTION","Use with facility-coverage caveat","Decision-useable within the stated scenario only"))</x:f>
        <x:v>Use with facility-coverage caveat</x:v>
      </x:c>
    </x:row>
    <x:row r="75">
      <x:c r="A75" s="29" t="str">
        <x:f>'Results Raw'!$A$72</x:f>
        <x:v>XOM</x:v>
      </x:c>
      <x:c r="B75" s="29" t="str">
        <x:f>'Results Raw'!$B$72</x:f>
        <x:v>Energy</x:v>
      </x:c>
      <x:c r="C75" s="29" t="str">
        <x:f>'Results Raw'!$E$72</x:f>
        <x:v>Below 2°C vs CP</x:v>
      </x:c>
      <x:c r="D75" s="29" t="str">
        <x:f>'Results Raw'!$I$72</x:f>
        <x:v>base</x:v>
      </x:c>
      <x:c r="E75" s="31" t="n">
        <x:f>'Results Raw'!$M$72/100</x:f>
        <x:v>-0.06493744910939403</x:v>
      </x:c>
      <x:c r="F75" s="33" t="n">
        <x:f>('Results Raw'!$O$72-'Results Raw'!$N$72)/1000000000</x:f>
        <x:v>-43.34176584970178</x:v>
      </x:c>
      <x:c r="G75" s="31" t="n">
        <x:f>IF(ABS('Results Raw'!$O$72)+ABS('Results Raw'!$N$72)=0,"",2*('Results Raw'!$O$72-'Results Raw'!$N$72)/(ABS('Results Raw'!$O$72)+ABS('Results Raw'!$N$72)))</x:f>
        <x:v>-0.06711664083365866</x:v>
      </x:c>
      <x:c r="H75" s="31" t="n">
        <x:f>'Results Raw'!$Z$72/100</x:f>
        <x:v>-0.06660041219521791</x:v>
      </x:c>
      <x:c r="I75" s="31" t="n">
        <x:f>'Results Raw'!$AA$72/100</x:f>
        <x:v>0.0007996289131649318</x:v>
      </x:c>
      <x:c r="J75" s="31" t="n">
        <x:f>'Results Raw'!$AB$72/100</x:f>
        <x:v>0.0008633341726589219</x:v>
      </x:c>
      <x:c r="K75" s="35" t="n">
        <x:f>ABS(E75-SUM(H75:J75))</x:f>
        <x:v>2.7755575615628914e-17</x:v>
      </x:c>
      <x:c r="L75" s="37" t="n">
        <x:f>('Results Raw'!$W$72+'Results Raw'!$X$72+'Results Raw'!$Y$72)/1000000000</x:f>
        <x:v>2.4418645017107683</x:v>
      </x:c>
      <x:c r="M75" s="37" t="n">
        <x:f>'Results Raw'!$R$72/1000000000</x:f>
        <x:v>-2.4418645017107696</x:v>
      </x:c>
      <x:c r="N75" s="37" t="n">
        <x:f>ABS('Results Raw'!$R$72+'Results Raw'!$W$72+'Results Raw'!$X$72+'Results Raw'!$Y$72)/1000000000</x:f>
        <x:v>1.3113021850585937e-15</x:v>
      </x:c>
      <x:c r="O75" s="39" t="n">
        <x:f>IF(MIN(ABS('Results Raw'!$O$72),ABS('Results Raw'!$N$72))=0,"",MAX(ABS('Results Raw'!$O$72)/ABS('Results Raw'!$N$72),ABS('Results Raw'!$N$72)/ABS('Results Raw'!$O$72)))</x:f>
        <x:v>1.069447171258804</x:v>
      </x:c>
      <x:c r="P75" s="41" t="n">
        <x:f>IF('Results Raw'!$AO$72="","",'Results Raw'!$AO$72/100)</x:f>
        <x:v>0.7205882352941176</x:v>
      </x:c>
      <x:c r="Q75" s="29" t="str">
        <x:f>'Results Raw'!$AP$72</x:f>
        <x:v>Medium</x:v>
      </x:c>
      <x:c r="R75" s="29" t="str">
        <x:f>IF(Q75="Unverified","PROXY / UNVERIFIED",IF(P75="","MISSING COVERAGE",IF(P75&lt;75%,"LIMITED COVERAGE","VERIFIED")))</x:f>
        <x:v>LIMITED COVERAGE</x:v>
      </x:c>
      <x:c r="S75" s="29" t="str">
        <x:f>IF(N75&gt;0.000001,"TERMINAL FCFF FLOOR",IF(OR('Results Raw'!$BK$72=TRUE,'Results Raw'!$BL$72=TRUE),"EV FLOOR",IF(OR(O75="",O75&gt;=4),"DENOMINATOR-SENSITIVE","NORMAL")))</x:f>
        <x:v>NORMAL</x:v>
      </x:c>
      <x:c r="T75" s="29" t="str">
        <x:f>IF(OR(R75="PROXY / UNVERIFIED",R75="MISSING COVERAGE",S75&lt;&gt;"NORMAL"),"EXCLUDE",IF(R75="LIMITED COVERAGE","CAUTION","RANKABLE"))</x:f>
        <x:v>CAUTION</x:v>
      </x:c>
      <x:c r="U75" s="43" t="str">
        <x:f>IF(T75="EXCLUDE","Illustrative only - do not assign an ordinary rank",IF(T75="CAUTION","Use with facility-coverage caveat","Decision-useable within the stated scenario only"))</x:f>
        <x:v>Use with facility-coverage caveat</x:v>
      </x:c>
    </x:row>
    <x:row r="76">
      <x:c r="A76" s="29" t="str">
        <x:f>'Results Raw'!$A$73</x:f>
        <x:v>XOM</x:v>
      </x:c>
      <x:c r="B76" s="29" t="str">
        <x:f>'Results Raw'!$B$73</x:f>
        <x:v>Energy</x:v>
      </x:c>
      <x:c r="C76" s="29" t="str">
        <x:f>'Results Raw'!$E$73</x:f>
        <x:v>Below 2°C vs CP</x:v>
      </x:c>
      <x:c r="D76" s="29" t="str">
        <x:f>'Results Raw'!$I$73</x:f>
        <x:v>high</x:v>
      </x:c>
      <x:c r="E76" s="31" t="n">
        <x:f>'Results Raw'!$M$73/100</x:f>
        <x:v>-0.18538500278864256</x:v>
      </x:c>
      <x:c r="F76" s="33" t="n">
        <x:f>('Results Raw'!$O$73-'Results Raw'!$N$73)/1000000000</x:f>
        <x:v>-122.05065578718592</x:v>
      </x:c>
      <x:c r="G76" s="31" t="n">
        <x:f>IF(ABS('Results Raw'!$O$73)+ABS('Results Raw'!$N$73)=0,"",2*('Results Raw'!$O$73-'Results Raw'!$N$73)/(ABS('Results Raw'!$O$73)+ABS('Results Raw'!$N$73)))</x:f>
        <x:v>-0.2043243366483097</x:v>
      </x:c>
      <x:c r="H76" s="31" t="n">
        <x:f>'Results Raw'!$Z$73/100</x:f>
        <x:v>-0.1884564815555255</x:v>
      </x:c>
      <x:c r="I76" s="31" t="n">
        <x:f>'Results Raw'!$AA$73/100</x:f>
        <x:v>0.0016127533883016243</x:v>
      </x:c>
      <x:c r="J76" s="31" t="n">
        <x:f>'Results Raw'!$AB$73/100</x:f>
        <x:v>0.0014587253785813808</x:v>
      </x:c>
      <x:c r="K76" s="35" t="n">
        <x:f>ABS(E76-SUM(H76:J76))</x:f>
        <x:v>8.326672684688674e-17</x:v>
      </x:c>
      <x:c r="L76" s="37" t="n">
        <x:f>('Results Raw'!$W$73+'Results Raw'!$X$73+'Results Raw'!$Y$73)/1000000000</x:f>
        <x:v>7.921080093154297</x:v>
      </x:c>
      <x:c r="M76" s="37" t="n">
        <x:f>'Results Raw'!$R$73/1000000000</x:f>
        <x:v>-7.921080093154297</x:v>
      </x:c>
      <x:c r="N76" s="37" t="n">
        <x:f>ABS('Results Raw'!$R$73+'Results Raw'!$W$73+'Results Raw'!$X$73+'Results Raw'!$Y$73)/1000000000</x:f>
        <x:v>1.1920928955078126e-16</x:v>
      </x:c>
      <x:c r="O76" s="39" t="n">
        <x:f>IF(MIN(ABS('Results Raw'!$O$73),ABS('Results Raw'!$N$73))=0,"",MAX(ABS('Results Raw'!$O$73)/ABS('Results Raw'!$N$73),ABS('Results Raw'!$N$73)/ABS('Results Raw'!$O$73)))</x:f>
        <x:v>1.227573766040724</x:v>
      </x:c>
      <x:c r="P76" s="41" t="n">
        <x:f>IF('Results Raw'!$AO$73="","",'Results Raw'!$AO$73/100)</x:f>
        <x:v>0.7205882352941176</x:v>
      </x:c>
      <x:c r="Q76" s="29" t="str">
        <x:f>'Results Raw'!$AP$73</x:f>
        <x:v>Medium</x:v>
      </x:c>
      <x:c r="R76" s="29" t="str">
        <x:f>IF(Q76="Unverified","PROXY / UNVERIFIED",IF(P76="","MISSING COVERAGE",IF(P76&lt;75%,"LIMITED COVERAGE","VERIFIED")))</x:f>
        <x:v>LIMITED COVERAGE</x:v>
      </x:c>
      <x:c r="S76" s="29" t="str">
        <x:f>IF(N76&gt;0.000001,"TERMINAL FCFF FLOOR",IF(OR('Results Raw'!$BK$73=TRUE,'Results Raw'!$BL$73=TRUE),"EV FLOOR",IF(OR(O76="",O76&gt;=4),"DENOMINATOR-SENSITIVE","NORMAL")))</x:f>
        <x:v>NORMAL</x:v>
      </x:c>
      <x:c r="T76" s="29" t="str">
        <x:f>IF(OR(R76="PROXY / UNVERIFIED",R76="MISSING COVERAGE",S76&lt;&gt;"NORMAL"),"EXCLUDE",IF(R76="LIMITED COVERAGE","CAUTION","RANKABLE"))</x:f>
        <x:v>CAUTION</x:v>
      </x:c>
      <x:c r="U76" s="43" t="str">
        <x:f>IF(T76="EXCLUDE","Illustrative only - do not assign an ordinary rank",IF(T76="CAUTION","Use with facility-coverage caveat","Decision-useable within the stated scenario only"))</x:f>
        <x:v>Use with facility-coverage caveat</x:v>
      </x:c>
    </x:row>
    <x:row r="77">
      <x:c r="A77" s="29" t="str">
        <x:f>'Results Raw'!$A$74</x:f>
        <x:v>AAPL</x:v>
      </x:c>
      <x:c r="B77" s="29" t="str">
        <x:f>'Results Raw'!$B$74</x:f>
        <x:v>Technology</x:v>
      </x:c>
      <x:c r="C77" s="29" t="str">
        <x:f>'Results Raw'!$E$74</x:f>
        <x:v>CP vs delayed</x:v>
      </x:c>
      <x:c r="D77" s="29" t="str">
        <x:f>'Results Raw'!$I$74</x:f>
        <x:v>low</x:v>
      </x:c>
      <x:c r="E77" s="31" t="n">
        <x:f>'Results Raw'!$M$74/100</x:f>
        <x:v>0.0049606247798952285</x:v>
      </x:c>
      <x:c r="F77" s="33" t="n">
        <x:f>('Results Raw'!$O$74-'Results Raw'!$N$74)/1000000000</x:f>
        <x:v>7.442306275786866</x:v>
      </x:c>
      <x:c r="G77" s="31" t="n">
        <x:f>IF(ABS('Results Raw'!$O$74)+ABS('Results Raw'!$N$74)=0,"",2*('Results Raw'!$O$74-'Results Raw'!$N$74)/(ABS('Results Raw'!$O$74)+ABS('Results Raw'!$N$74)))</x:f>
        <x:v>0.0049483513227994175</x:v>
      </x:c>
      <x:c r="H77" s="31" t="n">
        <x:f>'Results Raw'!$Z$74/100</x:f>
        <x:v>0.000027842204636089604</x:v>
      </x:c>
      <x:c r="I77" s="31" t="n">
        <x:f>'Results Raw'!$AA$74/100</x:f>
        <x:v>-0.00000832429534098725</x:v>
      </x:c>
      <x:c r="J77" s="31" t="n">
        <x:f>'Results Raw'!$AB$74/100</x:f>
        <x:v>0.004941106870600069</x:v>
      </x:c>
      <x:c r="K77" s="35" t="n">
        <x:f>ABS(E77-SUM(H77:J77))</x:f>
        <x:v>5.724587470723463e-17</x:v>
      </x:c>
      <x:c r="L77" s="37" t="n">
        <x:f>('Results Raw'!$W$74+'Results Raw'!$X$74+'Results Raw'!$Y$74)/1000000000</x:f>
        <x:v>-1.849931970954956</x:v>
      </x:c>
      <x:c r="M77" s="37" t="n">
        <x:f>'Results Raw'!$R$74/1000000000</x:f>
        <x:v>1.849931970954956</x:v>
      </x:c>
      <x:c r="N77" s="37" t="n">
        <x:f>ABS('Results Raw'!$R$74+'Results Raw'!$W$74+'Results Raw'!$X$74+'Results Raw'!$Y$74)/1000000000</x:f>
        <x:v>0</x:v>
      </x:c>
      <x:c r="O77" s="39" t="n">
        <x:f>IF(MIN(ABS('Results Raw'!$O$74),ABS('Results Raw'!$N$74))=0,"",MAX(ABS('Results Raw'!$O$74)/ABS('Results Raw'!$N$74),ABS('Results Raw'!$N$74)/ABS('Results Raw'!$O$74)))</x:f>
        <x:v>1.0049606247798952</x:v>
      </x:c>
      <x:c r="P77" s="41" t="str">
        <x:f>IF('Results Raw'!$AO$74="","",'Results Raw'!$AO$74/100)</x:f>
      </x:c>
      <x:c r="Q77" s="29" t="str">
        <x:f>'Results Raw'!$AP$74</x:f>
        <x:v>Unverified</x:v>
      </x:c>
      <x:c r="R77" s="29" t="str">
        <x:f>IF(Q77="Unverified","PROXY / UNVERIFIED",IF(P77="","MISSING COVERAGE",IF(P77&lt;75%,"LIMITED COVERAGE","VERIFIED")))</x:f>
        <x:v>PROXY / UNVERIFIED</x:v>
      </x:c>
      <x:c r="S77" s="29" t="str">
        <x:f>IF(N77&gt;0.000001,"TERMINAL FCFF FLOOR",IF(OR('Results Raw'!$BK$74=TRUE,'Results Raw'!$BL$74=TRUE),"EV FLOOR",IF(OR(O77="",O77&gt;=4),"DENOMINATOR-SENSITIVE","NORMAL")))</x:f>
        <x:v>NORMAL</x:v>
      </x:c>
      <x:c r="T77" s="29" t="str">
        <x:f>IF(OR(R77="PROXY / UNVERIFIED",R77="MISSING COVERAGE",S77&lt;&gt;"NORMAL"),"EXCLUDE",IF(R77="LIMITED COVERAGE","CAUTION","RANKABLE"))</x:f>
        <x:v>EXCLUDE</x:v>
      </x:c>
      <x:c r="U77" s="43" t="str">
        <x:f>IF(T77="EXCLUDE","Illustrative only - do not assign an ordinary rank",IF(T77="CAUTION","Use with facility-coverage caveat","Decision-useable within the stated scenario only"))</x:f>
        <x:v>Illustrative only - do not assign an ordinary rank</x:v>
      </x:c>
    </x:row>
    <x:row r="78">
      <x:c r="A78" s="29" t="str">
        <x:f>'Results Raw'!$A$75</x:f>
        <x:v>AAPL</x:v>
      </x:c>
      <x:c r="B78" s="29" t="str">
        <x:f>'Results Raw'!$B$75</x:f>
        <x:v>Technology</x:v>
      </x:c>
      <x:c r="C78" s="29" t="str">
        <x:f>'Results Raw'!$E$75</x:f>
        <x:v>CP vs delayed</x:v>
      </x:c>
      <x:c r="D78" s="29" t="str">
        <x:f>'Results Raw'!$I$75</x:f>
        <x:v>base</x:v>
      </x:c>
      <x:c r="E78" s="31" t="n">
        <x:f>'Results Raw'!$M$75/100</x:f>
        <x:v>0.00863604956260744</x:v>
      </x:c>
      <x:c r="F78" s="33" t="n">
        <x:f>('Results Raw'!$O$75-'Results Raw'!$N$75)/1000000000</x:f>
        <x:v>12.872764183836425</x:v>
      </x:c>
      <x:c r="G78" s="31" t="n">
        <x:f>IF(ABS('Results Raw'!$O$75)+ABS('Results Raw'!$N$75)=0,"",2*('Results Raw'!$O$75-'Results Raw'!$N$75)/(ABS('Results Raw'!$O$75)+ABS('Results Raw'!$N$75)))</x:f>
        <x:v>0.00859891921633883</x:v>
      </x:c>
      <x:c r="H78" s="31" t="n">
        <x:f>'Results Raw'!$Z$75/100</x:f>
        <x:v>0.00013799808362023193</x:v>
      </x:c>
      <x:c r="I78" s="31" t="n">
        <x:f>'Results Raw'!$AA$75/100</x:f>
        <x:v>-0.00002748910858662231</x:v>
      </x:c>
      <x:c r="J78" s="31" t="n">
        <x:f>'Results Raw'!$AB$75/100</x:f>
        <x:v>0.008525540587573798</x:v>
      </x:c>
      <x:c r="K78" s="35" t="n">
        <x:f>ABS(E78-SUM(H78:J78))</x:f>
        <x:v>3.122502256758253e-17</x:v>
      </x:c>
      <x:c r="L78" s="37" t="n">
        <x:f>('Results Raw'!$W$75+'Results Raw'!$X$75+'Results Raw'!$Y$75)/1000000000</x:f>
        <x:v>-3.2074494330494727</x:v>
      </x:c>
      <x:c r="M78" s="37" t="n">
        <x:f>'Results Raw'!$R$75/1000000000</x:f>
        <x:v>3.207449433049469</x:v>
      </x:c>
      <x:c r="N78" s="37" t="n">
        <x:f>ABS('Results Raw'!$R$75+'Results Raw'!$W$75+'Results Raw'!$X$75+'Results Raw'!$Y$75)/1000000000</x:f>
        <x:v>3.814697265625e-15</x:v>
      </x:c>
      <x:c r="O78" s="39" t="n">
        <x:f>IF(MIN(ABS('Results Raw'!$O$75),ABS('Results Raw'!$N$75))=0,"",MAX(ABS('Results Raw'!$O$75)/ABS('Results Raw'!$N$75),ABS('Results Raw'!$N$75)/ABS('Results Raw'!$O$75)))</x:f>
        <x:v>1.0086360495626074</x:v>
      </x:c>
      <x:c r="P78" s="41" t="str">
        <x:f>IF('Results Raw'!$AO$75="","",'Results Raw'!$AO$75/100)</x:f>
      </x:c>
      <x:c r="Q78" s="29" t="str">
        <x:f>'Results Raw'!$AP$75</x:f>
        <x:v>Unverified</x:v>
      </x:c>
      <x:c r="R78" s="29" t="str">
        <x:f>IF(Q78="Unverified","PROXY / UNVERIFIED",IF(P78="","MISSING COVERAGE",IF(P78&lt;75%,"LIMITED COVERAGE","VERIFIED")))</x:f>
        <x:v>PROXY / UNVERIFIED</x:v>
      </x:c>
      <x:c r="S78" s="29" t="str">
        <x:f>IF(N78&gt;0.000001,"TERMINAL FCFF FLOOR",IF(OR('Results Raw'!$BK$75=TRUE,'Results Raw'!$BL$75=TRUE),"EV FLOOR",IF(OR(O78="",O78&gt;=4),"DENOMINATOR-SENSITIVE","NORMAL")))</x:f>
        <x:v>NORMAL</x:v>
      </x:c>
      <x:c r="T78" s="29" t="str">
        <x:f>IF(OR(R78="PROXY / UNVERIFIED",R78="MISSING COVERAGE",S78&lt;&gt;"NORMAL"),"EXCLUDE",IF(R78="LIMITED COVERAGE","CAUTION","RANKABLE"))</x:f>
        <x:v>EXCLUDE</x:v>
      </x:c>
      <x:c r="U78" s="43" t="str">
        <x:f>IF(T78="EXCLUDE","Illustrative only - do not assign an ordinary rank",IF(T78="CAUTION","Use with facility-coverage caveat","Decision-useable within the stated scenario only"))</x:f>
        <x:v>Illustrative only - do not assign an ordinary rank</x:v>
      </x:c>
    </x:row>
    <x:row r="79">
      <x:c r="A79" s="29" t="str">
        <x:f>'Results Raw'!$A$76</x:f>
        <x:v>AAPL</x:v>
      </x:c>
      <x:c r="B79" s="29" t="str">
        <x:f>'Results Raw'!$B$76</x:f>
        <x:v>Technology</x:v>
      </x:c>
      <x:c r="C79" s="29" t="str">
        <x:f>'Results Raw'!$E$76</x:f>
        <x:v>CP vs delayed</x:v>
      </x:c>
      <x:c r="D79" s="29" t="str">
        <x:f>'Results Raw'!$I$76</x:f>
        <x:v>high</x:v>
      </x:c>
      <x:c r="E79" s="31" t="n">
        <x:f>'Results Raw'!$M$76/100</x:f>
        <x:v>0.01488301174739215</x:v>
      </x:c>
      <x:c r="F79" s="33" t="n">
        <x:f>('Results Raw'!$O$76-'Results Raw'!$N$76)/1000000000</x:f>
        <x:v>21.90506294523584</x:v>
      </x:c>
      <x:c r="G79" s="31" t="n">
        <x:f>IF(ABS('Results Raw'!$O$76)+ABS('Results Raw'!$N$76)=0,"",2*('Results Raw'!$O$76-'Results Raw'!$N$76)/(ABS('Results Raw'!$O$76)+ABS('Results Raw'!$N$76)))</x:f>
        <x:v>0.014773077802154826</x:v>
      </x:c>
      <x:c r="H79" s="31" t="n">
        <x:f>'Results Raw'!$Z$76/100</x:f>
        <x:v>0.0005787597867151899</x:v>
      </x:c>
      <x:c r="I79" s="31" t="n">
        <x:f>'Results Raw'!$AA$76/100</x:f>
        <x:v>-0.00008617509312878444</x:v>
      </x:c>
      <x:c r="J79" s="31" t="n">
        <x:f>'Results Raw'!$AB$76/100</x:f>
        <x:v>0.014390427053805723</x:v>
      </x:c>
      <x:c r="K79" s="35" t="n">
        <x:f>ABS(E79-SUM(H79:J79))</x:f>
        <x:v>2.0816681711721685e-17</x:v>
      </x:c>
      <x:c r="L79" s="37" t="n">
        <x:f>('Results Raw'!$W$76+'Results Raw'!$X$76+'Results Raw'!$Y$76)/1000000000</x:f>
        <x:v>-5.502754362613996</x:v>
      </x:c>
      <x:c r="M79" s="37" t="n">
        <x:f>'Results Raw'!$R$76/1000000000</x:f>
        <x:v>5.502754362614014</x:v>
      </x:c>
      <x:c r="N79" s="37" t="n">
        <x:f>ABS('Results Raw'!$R$76+'Results Raw'!$W$76+'Results Raw'!$X$76+'Results Raw'!$Y$76)/1000000000</x:f>
        <x:v>1.71661376953125e-14</x:v>
      </x:c>
      <x:c r="O79" s="39" t="n">
        <x:f>IF(MIN(ABS('Results Raw'!$O$76),ABS('Results Raw'!$N$76))=0,"",MAX(ABS('Results Raw'!$O$76)/ABS('Results Raw'!$N$76),ABS('Results Raw'!$N$76)/ABS('Results Raw'!$O$76)))</x:f>
        <x:v>1.0148830117473921</x:v>
      </x:c>
      <x:c r="P79" s="41" t="str">
        <x:f>IF('Results Raw'!$AO$76="","",'Results Raw'!$AO$76/100)</x:f>
      </x:c>
      <x:c r="Q79" s="29" t="str">
        <x:f>'Results Raw'!$AP$76</x:f>
        <x:v>Unverified</x:v>
      </x:c>
      <x:c r="R79" s="29" t="str">
        <x:f>IF(Q79="Unverified","PROXY / UNVERIFIED",IF(P79="","MISSING COVERAGE",IF(P79&lt;75%,"LIMITED COVERAGE","VERIFIED")))</x:f>
        <x:v>PROXY / UNVERIFIED</x:v>
      </x:c>
      <x:c r="S79" s="29" t="str">
        <x:f>IF(N79&gt;0.000001,"TERMINAL FCFF FLOOR",IF(OR('Results Raw'!$BK$76=TRUE,'Results Raw'!$BL$76=TRUE),"EV FLOOR",IF(OR(O79="",O79&gt;=4),"DENOMINATOR-SENSITIVE","NORMAL")))</x:f>
        <x:v>NORMAL</x:v>
      </x:c>
      <x:c r="T79" s="29" t="str">
        <x:f>IF(OR(R79="PROXY / UNVERIFIED",R79="MISSING COVERAGE",S79&lt;&gt;"NORMAL"),"EXCLUDE",IF(R79="LIMITED COVERAGE","CAUTION","RANKABLE"))</x:f>
        <x:v>EXCLUDE</x:v>
      </x:c>
      <x:c r="U79" s="43" t="str">
        <x:f>IF(T79="EXCLUDE","Illustrative only - do not assign an ordinary rank",IF(T79="CAUTION","Use with facility-coverage caveat","Decision-useable within the stated scenario only"))</x:f>
        <x:v>Illustrative only - do not assign an ordinary rank</x:v>
      </x:c>
    </x:row>
    <x:row r="80">
      <x:c r="A80" s="29" t="str">
        <x:f>'Results Raw'!$A$77</x:f>
        <x:v>CAT</x:v>
      </x:c>
      <x:c r="B80" s="29" t="str">
        <x:f>'Results Raw'!$B$77</x:f>
        <x:v>Industrials</x:v>
      </x:c>
      <x:c r="C80" s="29" t="str">
        <x:f>'Results Raw'!$E$77</x:f>
        <x:v>CP vs delayed</x:v>
      </x:c>
      <x:c r="D80" s="29" t="str">
        <x:f>'Results Raw'!$I$77</x:f>
        <x:v>low</x:v>
      </x:c>
      <x:c r="E80" s="31" t="n">
        <x:f>'Results Raw'!$M$77/100</x:f>
        <x:v>0.009246069176182425</x:v>
      </x:c>
      <x:c r="F80" s="33" t="n">
        <x:f>('Results Raw'!$O$77-'Results Raw'!$N$77)/1000000000</x:f>
        <x:v>1.1112429300170594</x:v>
      </x:c>
      <x:c r="G80" s="31" t="n">
        <x:f>IF(ABS('Results Raw'!$O$77)+ABS('Results Raw'!$N$77)=0,"",2*('Results Raw'!$O$77-'Results Raw'!$N$77)/(ABS('Results Raw'!$O$77)+ABS('Results Raw'!$N$77)))</x:f>
        <x:v>0.009203520980358006</x:v>
      </x:c>
      <x:c r="H80" s="31" t="n">
        <x:f>'Results Raw'!$Z$77/100</x:f>
        <x:v>0.004106915040403727</x:v>
      </x:c>
      <x:c r="I80" s="31" t="n">
        <x:f>'Results Raw'!$AA$77/100</x:f>
        <x:v>-0.000009269334197565003</x:v>
      </x:c>
      <x:c r="J80" s="31" t="n">
        <x:f>'Results Raw'!$AB$77/100</x:f>
        <x:v>0.005148423469976262</x:v>
      </x:c>
      <x:c r="K80" s="35" t="n">
        <x:f>ABS(E80-SUM(H80:J80))</x:f>
        <x:v>0</x:v>
      </x:c>
      <x:c r="L80" s="37" t="n">
        <x:f>('Results Raw'!$W$77+'Results Raw'!$X$77+'Results Raw'!$Y$77)/1000000000</x:f>
        <x:v>-0.42271267551227676</x:v>
      </x:c>
      <x:c r="M80" s="37" t="n">
        <x:f>'Results Raw'!$R$77/1000000000</x:f>
        <x:v>0.4227126755122757</x:v>
      </x:c>
      <x:c r="N80" s="37" t="n">
        <x:f>ABS('Results Raw'!$R$77+'Results Raw'!$W$77+'Results Raw'!$X$77+'Results Raw'!$Y$77)/1000000000</x:f>
        <x:v>1.1026859283447266e-15</x:v>
      </x:c>
      <x:c r="O80" s="39" t="n">
        <x:f>IF(MIN(ABS('Results Raw'!$O$77),ABS('Results Raw'!$N$77))=0,"",MAX(ABS('Results Raw'!$O$77)/ABS('Results Raw'!$N$77),ABS('Results Raw'!$N$77)/ABS('Results Raw'!$O$77)))</x:f>
        <x:v>1.0092460691761824</x:v>
      </x:c>
      <x:c r="P80" s="41" t="n">
        <x:f>IF('Results Raw'!$AO$77="","",'Results Raw'!$AO$77/100)</x:f>
        <x:v>1</x:v>
      </x:c>
      <x:c r="Q80" s="29" t="str">
        <x:f>'Results Raw'!$AP$77</x:f>
        <x:v>High</x:v>
      </x:c>
      <x:c r="R80" s="29" t="str">
        <x:f>IF(Q80="Unverified","PROXY / UNVERIFIED",IF(P80="","MISSING COVERAGE",IF(P80&lt;75%,"LIMITED COVERAGE","VERIFIED")))</x:f>
        <x:v>VERIFIED</x:v>
      </x:c>
      <x:c r="S80" s="29" t="str">
        <x:f>IF(N80&gt;0.000001,"TERMINAL FCFF FLOOR",IF(OR('Results Raw'!$BK$77=TRUE,'Results Raw'!$BL$77=TRUE),"EV FLOOR",IF(OR(O80="",O80&gt;=4),"DENOMINATOR-SENSITIVE","NORMAL")))</x:f>
        <x:v>NORMAL</x:v>
      </x:c>
      <x:c r="T80" s="29" t="str">
        <x:f>IF(OR(R80="PROXY / UNVERIFIED",R80="MISSING COVERAGE",S80&lt;&gt;"NORMAL"),"EXCLUDE",IF(R80="LIMITED COVERAGE","CAUTION","RANKABLE"))</x:f>
        <x:v>RANKABLE</x:v>
      </x:c>
      <x:c r="U80" s="43" t="str">
        <x:f>IF(T80="EXCLUDE","Illustrative only - do not assign an ordinary rank",IF(T80="CAUTION","Use with facility-coverage caveat","Decision-useable within the stated scenario only"))</x:f>
        <x:v>Decision-useable within the stated scenario only</x:v>
      </x:c>
    </x:row>
    <x:row r="81">
      <x:c r="A81" s="29" t="str">
        <x:f>'Results Raw'!$A$78</x:f>
        <x:v>CAT</x:v>
      </x:c>
      <x:c r="B81" s="29" t="str">
        <x:f>'Results Raw'!$B$78</x:f>
        <x:v>Industrials</x:v>
      </x:c>
      <x:c r="C81" s="29" t="str">
        <x:f>'Results Raw'!$E$78</x:f>
        <x:v>CP vs delayed</x:v>
      </x:c>
      <x:c r="D81" s="29" t="str">
        <x:f>'Results Raw'!$I$78</x:f>
        <x:v>base</x:v>
      </x:c>
      <x:c r="E81" s="31" t="n">
        <x:f>'Results Raw'!$M$78/100</x:f>
        <x:v>0.02977112816608085</x:v>
      </x:c>
      <x:c r="F81" s="33" t="n">
        <x:f>('Results Raw'!$O$78-'Results Raw'!$N$78)/1000000000</x:f>
        <x:v>3.4963237684394683</x:v>
      </x:c>
      <x:c r="G81" s="31" t="n">
        <x:f>IF(ABS('Results Raw'!$O$78)+ABS('Results Raw'!$N$78)=0,"",2*('Results Raw'!$O$78-'Results Raw'!$N$78)/(ABS('Results Raw'!$O$78)+ABS('Results Raw'!$N$78)))</x:f>
        <x:v>0.029334468061903398</x:v>
      </x:c>
      <x:c r="H81" s="31" t="n">
        <x:f>'Results Raw'!$Z$78/100</x:f>
        <x:v>0.02076844133508161</x:v>
      </x:c>
      <x:c r="I81" s="31" t="n">
        <x:f>'Results Raw'!$AA$78/100</x:f>
        <x:v>-0.000029501609966661782</x:v>
      </x:c>
      <x:c r="J81" s="31" t="n">
        <x:f>'Results Raw'!$AB$78/100</x:f>
        <x:v>0.009032188440965809</x:v>
      </x:c>
      <x:c r="K81" s="35" t="n">
        <x:f>ABS(E81-SUM(H81:J81))</x:f>
        <x:v>9.367506770274758e-17</x:v>
      </x:c>
      <x:c r="L81" s="37" t="n">
        <x:f>('Results Raw'!$W$78+'Results Raw'!$X$78+'Results Raw'!$Y$78)/1000000000</x:f>
        <x:v>-1.5250218798893596</x:v>
      </x:c>
      <x:c r="M81" s="37" t="n">
        <x:f>'Results Raw'!$R$78/1000000000</x:f>
        <x:v>1.5250218798893584</x:v>
      </x:c>
      <x:c r="N81" s="37" t="n">
        <x:f>ABS('Results Raw'!$R$78+'Results Raw'!$W$78+'Results Raw'!$X$78+'Results Raw'!$Y$78)/1000000000</x:f>
        <x:v>8.344650268554687e-16</x:v>
      </x:c>
      <x:c r="O81" s="39" t="n">
        <x:f>IF(MIN(ABS('Results Raw'!$O$78),ABS('Results Raw'!$N$78))=0,"",MAX(ABS('Results Raw'!$O$78)/ABS('Results Raw'!$N$78),ABS('Results Raw'!$N$78)/ABS('Results Raw'!$O$78)))</x:f>
        <x:v>1.0297711281660809</x:v>
      </x:c>
      <x:c r="P81" s="41" t="n">
        <x:f>IF('Results Raw'!$AO$78="","",'Results Raw'!$AO$78/100)</x:f>
        <x:v>1</x:v>
      </x:c>
      <x:c r="Q81" s="29" t="str">
        <x:f>'Results Raw'!$AP$78</x:f>
        <x:v>High</x:v>
      </x:c>
      <x:c r="R81" s="29" t="str">
        <x:f>IF(Q81="Unverified","PROXY / UNVERIFIED",IF(P81="","MISSING COVERAGE",IF(P81&lt;75%,"LIMITED COVERAGE","VERIFIED")))</x:f>
        <x:v>VERIFIED</x:v>
      </x:c>
      <x:c r="S81" s="29" t="str">
        <x:f>IF(N81&gt;0.000001,"TERMINAL FCFF FLOOR",IF(OR('Results Raw'!$BK$78=TRUE,'Results Raw'!$BL$78=TRUE),"EV FLOOR",IF(OR(O81="",O81&gt;=4),"DENOMINATOR-SENSITIVE","NORMAL")))</x:f>
        <x:v>NORMAL</x:v>
      </x:c>
      <x:c r="T81" s="29" t="str">
        <x:f>IF(OR(R81="PROXY / UNVERIFIED",R81="MISSING COVERAGE",S81&lt;&gt;"NORMAL"),"EXCLUDE",IF(R81="LIMITED COVERAGE","CAUTION","RANKABLE"))</x:f>
        <x:v>RANKABLE</x:v>
      </x:c>
      <x:c r="U81" s="43" t="str">
        <x:f>IF(T81="EXCLUDE","Illustrative only - do not assign an ordinary rank",IF(T81="CAUTION","Use with facility-coverage caveat","Decision-useable within the stated scenario only"))</x:f>
        <x:v>Decision-useable within the stated scenario only</x:v>
      </x:c>
    </x:row>
    <x:row r="82">
      <x:c r="A82" s="29" t="str">
        <x:f>'Results Raw'!$A$79</x:f>
        <x:v>CAT</x:v>
      </x:c>
      <x:c r="B82" s="29" t="str">
        <x:f>'Results Raw'!$B$79</x:f>
        <x:v>Industrials</x:v>
      </x:c>
      <x:c r="C82" s="29" t="str">
        <x:f>'Results Raw'!$E$79</x:f>
        <x:v>CP vs delayed</x:v>
      </x:c>
      <x:c r="D82" s="29" t="str">
        <x:f>'Results Raw'!$I$79</x:f>
        <x:v>high</x:v>
      </x:c>
      <x:c r="E82" s="31" t="n">
        <x:f>'Results Raw'!$M$79/100</x:f>
        <x:v>0.1089093935842822</x:v>
      </x:c>
      <x:c r="F82" s="33" t="n">
        <x:f>('Results Raw'!$O$79-'Results Raw'!$N$79)/1000000000</x:f>
        <x:v>11.796567180474273</x:v>
      </x:c>
      <x:c r="G82" s="31" t="n">
        <x:f>IF(ABS('Results Raw'!$O$79)+ABS('Results Raw'!$N$79)=0,"",2*('Results Raw'!$O$79-'Results Raw'!$N$79)/(ABS('Results Raw'!$O$79)+ABS('Results Raw'!$N$79)))</x:f>
        <x:v>0.10328503814872841</x:v>
      </x:c>
      <x:c r="H82" s="31" t="n">
        <x:f>'Results Raw'!$Z$79/100</x:f>
        <x:v>0.09267491680189757</x:v>
      </x:c>
      <x:c r="I82" s="31" t="n">
        <x:f>'Results Raw'!$AA$79/100</x:f>
        <x:v>-0.00008731315603266678</x:v>
      </x:c>
      <x:c r="J82" s="31" t="n">
        <x:f>'Results Raw'!$AB$79/100</x:f>
        <x:v>0.01632178993841726</x:v>
      </x:c>
      <x:c r="K82" s="35" t="n">
        <x:f>ABS(E82-SUM(H82:J82))</x:f>
        <x:v>2.7755575615628914e-17</x:v>
      </x:c>
      <x:c r="L82" s="37" t="n">
        <x:f>('Results Raw'!$W$79+'Results Raw'!$X$79+'Results Raw'!$Y$79)/1000000000</x:f>
        <x:v>-5.8695403297782045</x:v>
      </x:c>
      <x:c r="M82" s="37" t="n">
        <x:f>'Results Raw'!$R$79/1000000000</x:f>
        <x:v>5.869540329778206</x:v>
      </x:c>
      <x:c r="N82" s="37" t="n">
        <x:f>ABS('Results Raw'!$R$79+'Results Raw'!$W$79+'Results Raw'!$X$79+'Results Raw'!$Y$79)/1000000000</x:f>
        <x:v>9.5367431640625e-16</x:v>
      </x:c>
      <x:c r="O82" s="39" t="n">
        <x:f>IF(MIN(ABS('Results Raw'!$O$79),ABS('Results Raw'!$N$79))=0,"",MAX(ABS('Results Raw'!$O$79)/ABS('Results Raw'!$N$79),ABS('Results Raw'!$N$79)/ABS('Results Raw'!$O$79)))</x:f>
        <x:v>1.1089093935842822</x:v>
      </x:c>
      <x:c r="P82" s="41" t="n">
        <x:f>IF('Results Raw'!$AO$79="","",'Results Raw'!$AO$79/100)</x:f>
        <x:v>1</x:v>
      </x:c>
      <x:c r="Q82" s="29" t="str">
        <x:f>'Results Raw'!$AP$79</x:f>
        <x:v>High</x:v>
      </x:c>
      <x:c r="R82" s="29" t="str">
        <x:f>IF(Q82="Unverified","PROXY / UNVERIFIED",IF(P82="","MISSING COVERAGE",IF(P82&lt;75%,"LIMITED COVERAGE","VERIFIED")))</x:f>
        <x:v>VERIFIED</x:v>
      </x:c>
      <x:c r="S82" s="29" t="str">
        <x:f>IF(N82&gt;0.000001,"TERMINAL FCFF FLOOR",IF(OR('Results Raw'!$BK$79=TRUE,'Results Raw'!$BL$79=TRUE),"EV FLOOR",IF(OR(O82="",O82&gt;=4),"DENOMINATOR-SENSITIVE","NORMAL")))</x:f>
        <x:v>NORMAL</x:v>
      </x:c>
      <x:c r="T82" s="29" t="str">
        <x:f>IF(OR(R82="PROXY / UNVERIFIED",R82="MISSING COVERAGE",S82&lt;&gt;"NORMAL"),"EXCLUDE",IF(R82="LIMITED COVERAGE","CAUTION","RANKABLE"))</x:f>
        <x:v>RANKABLE</x:v>
      </x:c>
      <x:c r="U82" s="43" t="str">
        <x:f>IF(T82="EXCLUDE","Illustrative only - do not assign an ordinary rank",IF(T82="CAUTION","Use with facility-coverage caveat","Decision-useable within the stated scenario only"))</x:f>
        <x:v>Decision-useable within the stated scenario only</x:v>
      </x:c>
    </x:row>
    <x:row r="83">
      <x:c r="A83" s="29" t="str">
        <x:f>'Results Raw'!$A$80</x:f>
        <x:v>CVX</x:v>
      </x:c>
      <x:c r="B83" s="29" t="str">
        <x:f>'Results Raw'!$B$80</x:f>
        <x:v>Energy</x:v>
      </x:c>
      <x:c r="C83" s="29" t="str">
        <x:f>'Results Raw'!$E$80</x:f>
        <x:v>CP vs delayed</x:v>
      </x:c>
      <x:c r="D83" s="29" t="str">
        <x:f>'Results Raw'!$I$80</x:f>
        <x:v>low</x:v>
      </x:c>
      <x:c r="E83" s="31" t="n">
        <x:f>'Results Raw'!$M$80/100</x:f>
        <x:v>0.047292853034073934</x:v>
      </x:c>
      <x:c r="F83" s="33" t="n">
        <x:f>('Results Raw'!$O$80-'Results Raw'!$N$80)/1000000000</x:f>
        <x:v>16.902362835372863</x:v>
      </x:c>
      <x:c r="G83" s="31" t="n">
        <x:f>IF(ABS('Results Raw'!$O$80)+ABS('Results Raw'!$N$80)=0,"",2*('Results Raw'!$O$80-'Results Raw'!$N$80)/(ABS('Results Raw'!$O$80)+ABS('Results Raw'!$N$80)))</x:f>
        <x:v>0.046200379163133555</x:v>
      </x:c>
      <x:c r="H83" s="31" t="n">
        <x:f>'Results Raw'!$Z$80/100</x:f>
        <x:v>0.03740991886476241</x:v>
      </x:c>
      <x:c r="I83" s="31" t="n">
        <x:f>'Results Raw'!$AA$80/100</x:f>
        <x:v>-0.00021920507135148108</x:v>
      </x:c>
      <x:c r="J83" s="31" t="n">
        <x:f>'Results Raw'!$AB$80/100</x:f>
        <x:v>0.010102139240662897</x:v>
      </x:c>
      <x:c r="K83" s="35" t="n">
        <x:f>ABS(E83-SUM(H83:J83))</x:f>
        <x:v>1.1102230246251565e-16</x:v>
      </x:c>
      <x:c r="L83" s="37" t="n">
        <x:f>('Results Raw'!$W$80+'Results Raw'!$X$80+'Results Raw'!$Y$80)/1000000000</x:f>
        <x:v>-2.3173856055159066</x:v>
      </x:c>
      <x:c r="M83" s="37" t="n">
        <x:f>'Results Raw'!$R$80/1000000000</x:f>
        <x:v>2.3173856055159074</x:v>
      </x:c>
      <x:c r="N83" s="37" t="n">
        <x:f>ABS('Results Raw'!$R$80+'Results Raw'!$W$80+'Results Raw'!$X$80+'Results Raw'!$Y$80)/1000000000</x:f>
        <x:v>7.152557373046875e-16</x:v>
      </x:c>
      <x:c r="O83" s="39" t="n">
        <x:f>IF(MIN(ABS('Results Raw'!$O$80),ABS('Results Raw'!$N$80))=0,"",MAX(ABS('Results Raw'!$O$80)/ABS('Results Raw'!$N$80),ABS('Results Raw'!$N$80)/ABS('Results Raw'!$O$80)))</x:f>
        <x:v>1.047292853034074</x:v>
      </x:c>
      <x:c r="P83" s="41" t="n">
        <x:f>IF('Results Raw'!$AO$80="","",'Results Raw'!$AO$80/100)</x:f>
        <x:v>0.6415094339622641</x:v>
      </x:c>
      <x:c r="Q83" s="29" t="str">
        <x:f>'Results Raw'!$AP$80</x:f>
        <x:v>Medium</x:v>
      </x:c>
      <x:c r="R83" s="29" t="str">
        <x:f>IF(Q83="Unverified","PROXY / UNVERIFIED",IF(P83="","MISSING COVERAGE",IF(P83&lt;75%,"LIMITED COVERAGE","VERIFIED")))</x:f>
        <x:v>LIMITED COVERAGE</x:v>
      </x:c>
      <x:c r="S83" s="29" t="str">
        <x:f>IF(N83&gt;0.000001,"TERMINAL FCFF FLOOR",IF(OR('Results Raw'!$BK$80=TRUE,'Results Raw'!$BL$80=TRUE),"EV FLOOR",IF(OR(O83="",O83&gt;=4),"DENOMINATOR-SENSITIVE","NORMAL")))</x:f>
        <x:v>NORMAL</x:v>
      </x:c>
      <x:c r="T83" s="29" t="str">
        <x:f>IF(OR(R83="PROXY / UNVERIFIED",R83="MISSING COVERAGE",S83&lt;&gt;"NORMAL"),"EXCLUDE",IF(R83="LIMITED COVERAGE","CAUTION","RANKABLE"))</x:f>
        <x:v>CAUTION</x:v>
      </x:c>
      <x:c r="U83" s="43" t="str">
        <x:f>IF(T83="EXCLUDE","Illustrative only - do not assign an ordinary rank",IF(T83="CAUTION","Use with facility-coverage caveat","Decision-useable within the stated scenario only"))</x:f>
        <x:v>Use with facility-coverage caveat</x:v>
      </x:c>
    </x:row>
    <x:row r="84">
      <x:c r="A84" s="29" t="str">
        <x:f>'Results Raw'!$A$81</x:f>
        <x:v>CVX</x:v>
      </x:c>
      <x:c r="B84" s="29" t="str">
        <x:f>'Results Raw'!$B$81</x:f>
        <x:v>Energy</x:v>
      </x:c>
      <x:c r="C84" s="29" t="str">
        <x:f>'Results Raw'!$E$81</x:f>
        <x:v>CP vs delayed</x:v>
      </x:c>
      <x:c r="D84" s="29" t="str">
        <x:f>'Results Raw'!$I$81</x:f>
        <x:v>base</x:v>
      </x:c>
      <x:c r="E84" s="31" t="n">
        <x:f>'Results Raw'!$M$81/100</x:f>
        <x:v>0.19298376760428204</x:v>
      </x:c>
      <x:c r="F84" s="33" t="n">
        <x:f>('Results Raw'!$O$81-'Results Raw'!$N$81)/1000000000</x:f>
        <x:v>60.12174127913715</x:v>
      </x:c>
      <x:c r="G84" s="31" t="n">
        <x:f>IF(ABS('Results Raw'!$O$81)+ABS('Results Raw'!$N$81)=0,"",2*('Results Raw'!$O$81-'Results Raw'!$N$81)/(ABS('Results Raw'!$O$81)+ABS('Results Raw'!$N$81)))</x:f>
        <x:v>0.17600109080160356</x:v>
      </x:c>
      <x:c r="H84" s="31" t="n">
        <x:f>'Results Raw'!$Z$81/100</x:f>
        <x:v>0.17382205403622064</x:v>
      </x:c>
      <x:c r="I84" s="31" t="n">
        <x:f>'Results Raw'!$AA$81/100</x:f>
        <x:v>-0.0007055334929230579</x:v>
      </x:c>
      <x:c r="J84" s="31" t="n">
        <x:f>'Results Raw'!$AB$81/100</x:f>
        <x:v>0.019867247060984326</x:v>
      </x:c>
      <x:c r="K84" s="35" t="n">
        <x:f>ABS(E84-SUM(H84:J84))</x:f>
        <x:v>1.3877787807814457e-16</x:v>
      </x:c>
      <x:c r="L84" s="37" t="n">
        <x:f>('Results Raw'!$W$81+'Results Raw'!$X$81+'Results Raw'!$Y$81)/1000000000</x:f>
        <x:v>-8.840855957316542</x:v>
      </x:c>
      <x:c r="M84" s="37" t="n">
        <x:f>'Results Raw'!$R$81/1000000000</x:f>
        <x:v>8.84085595731654</x:v>
      </x:c>
      <x:c r="N84" s="37" t="n">
        <x:f>ABS('Results Raw'!$R$81+'Results Raw'!$W$81+'Results Raw'!$X$81+'Results Raw'!$Y$81)/1000000000</x:f>
        <x:v>2.1457672119140624e-15</x:v>
      </x:c>
      <x:c r="O84" s="39" t="n">
        <x:f>IF(MIN(ABS('Results Raw'!$O$81),ABS('Results Raw'!$N$81))=0,"",MAX(ABS('Results Raw'!$O$81)/ABS('Results Raw'!$N$81),ABS('Results Raw'!$N$81)/ABS('Results Raw'!$O$81)))</x:f>
        <x:v>1.192983767604282</x:v>
      </x:c>
      <x:c r="P84" s="41" t="n">
        <x:f>IF('Results Raw'!$AO$81="","",'Results Raw'!$AO$81/100)</x:f>
        <x:v>0.6415094339622641</x:v>
      </x:c>
      <x:c r="Q84" s="29" t="str">
        <x:f>'Results Raw'!$AP$81</x:f>
        <x:v>Medium</x:v>
      </x:c>
      <x:c r="R84" s="29" t="str">
        <x:f>IF(Q84="Unverified","PROXY / UNVERIFIED",IF(P84="","MISSING COVERAGE",IF(P84&lt;75%,"LIMITED COVERAGE","VERIFIED")))</x:f>
        <x:v>LIMITED COVERAGE</x:v>
      </x:c>
      <x:c r="S84" s="29" t="str">
        <x:f>IF(N84&gt;0.000001,"TERMINAL FCFF FLOOR",IF(OR('Results Raw'!$BK$81=TRUE,'Results Raw'!$BL$81=TRUE),"EV FLOOR",IF(OR(O84="",O84&gt;=4),"DENOMINATOR-SENSITIVE","NORMAL")))</x:f>
        <x:v>NORMAL</x:v>
      </x:c>
      <x:c r="T84" s="29" t="str">
        <x:f>IF(OR(R84="PROXY / UNVERIFIED",R84="MISSING COVERAGE",S84&lt;&gt;"NORMAL"),"EXCLUDE",IF(R84="LIMITED COVERAGE","CAUTION","RANKABLE"))</x:f>
        <x:v>CAUTION</x:v>
      </x:c>
      <x:c r="U84" s="43" t="str">
        <x:f>IF(T84="EXCLUDE","Illustrative only - do not assign an ordinary rank",IF(T84="CAUTION","Use with facility-coverage caveat","Decision-useable within the stated scenario only"))</x:f>
        <x:v>Use with facility-coverage caveat</x:v>
      </x:c>
    </x:row>
    <x:row r="85">
      <x:c r="A85" s="29" t="str">
        <x:f>'Results Raw'!$A$82</x:f>
        <x:v>CVX</x:v>
      </x:c>
      <x:c r="B85" s="29" t="str">
        <x:f>'Results Raw'!$B$82</x:f>
        <x:v>Energy</x:v>
      </x:c>
      <x:c r="C85" s="29" t="str">
        <x:f>'Results Raw'!$E$82</x:f>
        <x:v>CP vs delayed</x:v>
      </x:c>
      <x:c r="D85" s="29" t="str">
        <x:f>'Results Raw'!$I$82</x:f>
        <x:v>high</x:v>
      </x:c>
      <x:c r="E85" s="31" t="n">
        <x:f>'Results Raw'!$M$82/100</x:f>
        <x:v>0.9104303094213517</x:v>
      </x:c>
      <x:c r="F85" s="33" t="n">
        <x:f>('Results Raw'!$O$82-'Results Raw'!$N$82)/1000000000</x:f>
        <x:v>174.77515099782724</x:v>
      </x:c>
      <x:c r="G85" s="31" t="n">
        <x:f>IF(ABS('Results Raw'!$O$82)+ABS('Results Raw'!$N$82)=0,"",2*('Results Raw'!$O$82-'Results Raw'!$N$82)/(ABS('Results Raw'!$O$82)+ABS('Results Raw'!$N$82)))</x:f>
        <x:v>0.6256327845914733</x:v>
      </x:c>
      <x:c r="H85" s="31" t="n">
        <x:f>'Results Raw'!$Z$82/100</x:f>
        <x:v>0.8588063380512374</x:v>
      </x:c>
      <x:c r="I85" s="31" t="n">
        <x:f>'Results Raw'!$AA$82/100</x:f>
        <x:v>-0.0019705365778911067</x:v>
      </x:c>
      <x:c r="J85" s="31" t="n">
        <x:f>'Results Raw'!$AB$82/100</x:f>
        <x:v>0.053594507948005535</x:v>
      </x:c>
      <x:c r="K85" s="35" t="n">
        <x:f>ABS(E85-SUM(H85:J85))</x:f>
        <x:v>1.1102230246251565e-16</x:v>
      </x:c>
      <x:c r="L85" s="37" t="n">
        <x:f>('Results Raw'!$W$82+'Results Raw'!$X$82+'Results Raw'!$Y$82)/1000000000</x:f>
        <x:v>-27.213230741167266</x:v>
      </x:c>
      <x:c r="M85" s="37" t="n">
        <x:f>'Results Raw'!$R$82/1000000000</x:f>
        <x:v>27.213230741167266</x:v>
      </x:c>
      <x:c r="N85" s="37" t="n">
        <x:f>ABS('Results Raw'!$R$82+'Results Raw'!$W$82+'Results Raw'!$X$82+'Results Raw'!$Y$82)/1000000000</x:f>
        <x:v>4.76837158203125e-16</x:v>
      </x:c>
      <x:c r="O85" s="39" t="n">
        <x:f>IF(MIN(ABS('Results Raw'!$O$82),ABS('Results Raw'!$N$82))=0,"",MAX(ABS('Results Raw'!$O$82)/ABS('Results Raw'!$N$82),ABS('Results Raw'!$N$82)/ABS('Results Raw'!$O$82)))</x:f>
        <x:v>1.9104303094213517</x:v>
      </x:c>
      <x:c r="P85" s="41" t="n">
        <x:f>IF('Results Raw'!$AO$82="","",'Results Raw'!$AO$82/100)</x:f>
        <x:v>0.6415094339622641</x:v>
      </x:c>
      <x:c r="Q85" s="29" t="str">
        <x:f>'Results Raw'!$AP$82</x:f>
        <x:v>Medium</x:v>
      </x:c>
      <x:c r="R85" s="29" t="str">
        <x:f>IF(Q85="Unverified","PROXY / UNVERIFIED",IF(P85="","MISSING COVERAGE",IF(P85&lt;75%,"LIMITED COVERAGE","VERIFIED")))</x:f>
        <x:v>LIMITED COVERAGE</x:v>
      </x:c>
      <x:c r="S85" s="29" t="str">
        <x:f>IF(N85&gt;0.000001,"TERMINAL FCFF FLOOR",IF(OR('Results Raw'!$BK$82=TRUE,'Results Raw'!$BL$82=TRUE),"EV FLOOR",IF(OR(O85="",O85&gt;=4),"DENOMINATOR-SENSITIVE","NORMAL")))</x:f>
        <x:v>NORMAL</x:v>
      </x:c>
      <x:c r="T85" s="29" t="str">
        <x:f>IF(OR(R85="PROXY / UNVERIFIED",R85="MISSING COVERAGE",S85&lt;&gt;"NORMAL"),"EXCLUDE",IF(R85="LIMITED COVERAGE","CAUTION","RANKABLE"))</x:f>
        <x:v>CAUTION</x:v>
      </x:c>
      <x:c r="U85" s="43" t="str">
        <x:f>IF(T85="EXCLUDE","Illustrative only - do not assign an ordinary rank",IF(T85="CAUTION","Use with facility-coverage caveat","Decision-useable within the stated scenario only"))</x:f>
        <x:v>Use with facility-coverage caveat</x:v>
      </x:c>
    </x:row>
    <x:row r="86">
      <x:c r="A86" s="29" t="str">
        <x:f>'Results Raw'!$A$83</x:f>
        <x:v>DE</x:v>
      </x:c>
      <x:c r="B86" s="29" t="str">
        <x:f>'Results Raw'!$B$83</x:f>
        <x:v>Industrials</x:v>
      </x:c>
      <x:c r="C86" s="29" t="str">
        <x:f>'Results Raw'!$E$83</x:f>
        <x:v>CP vs delayed</x:v>
      </x:c>
      <x:c r="D86" s="29" t="str">
        <x:f>'Results Raw'!$I$83</x:f>
        <x:v>low</x:v>
      </x:c>
      <x:c r="E86" s="31" t="n">
        <x:f>'Results Raw'!$M$83/100</x:f>
        <x:v>0.007324987745863432</x:v>
      </x:c>
      <x:c r="F86" s="33" t="n">
        <x:f>('Results Raw'!$O$83-'Results Raw'!$N$83)/1000000000</x:f>
        <x:v>1.1309493049779664</x:v>
      </x:c>
      <x:c r="G86" s="31" t="n">
        <x:f>IF(ABS('Results Raw'!$O$83)+ABS('Results Raw'!$N$83)=0,"",2*('Results Raw'!$O$83-'Results Raw'!$N$83)/(ABS('Results Raw'!$O$83)+ABS('Results Raw'!$N$83)))</x:f>
        <x:v>0.0072982579209449885</x:v>
      </x:c>
      <x:c r="H86" s="31" t="n">
        <x:f>'Results Raw'!$Z$83/100</x:f>
        <x:v>0.001205923731506971</x:v>
      </x:c>
      <x:c r="I86" s="31" t="n">
        <x:f>'Results Raw'!$AA$83/100</x:f>
        <x:v>-0.000011840458905123576</x:v>
      </x:c>
      <x:c r="J86" s="31" t="n">
        <x:f>'Results Raw'!$AB$83/100</x:f>
        <x:v>0.006130904473261678</x:v>
      </x:c>
      <x:c r="K86" s="35" t="n">
        <x:f>ABS(E86-SUM(H86:J86))</x:f>
        <x:v>9.367506770274758e-17</x:v>
      </x:c>
      <x:c r="L86" s="37" t="n">
        <x:f>('Results Raw'!$W$83+'Results Raw'!$X$83+'Results Raw'!$Y$83)/1000000000</x:f>
        <x:v>-0.19482596161371038</x:v>
      </x:c>
      <x:c r="M86" s="37" t="n">
        <x:f>'Results Raw'!$R$83/1000000000</x:f>
        <x:v>0.1948259616137104</x:v>
      </x:c>
      <x:c r="N86" s="37" t="n">
        <x:f>ABS('Results Raw'!$R$83+'Results Raw'!$W$83+'Results Raw'!$X$83+'Results Raw'!$Y$83)/1000000000</x:f>
        <x:v>2.9802322387695314e-17</x:v>
      </x:c>
      <x:c r="O86" s="39" t="n">
        <x:f>IF(MIN(ABS('Results Raw'!$O$83),ABS('Results Raw'!$N$83))=0,"",MAX(ABS('Results Raw'!$O$83)/ABS('Results Raw'!$N$83),ABS('Results Raw'!$N$83)/ABS('Results Raw'!$O$83)))</x:f>
        <x:v>1.0073249877458634</x:v>
      </x:c>
      <x:c r="P86" s="41" t="n">
        <x:f>IF('Results Raw'!$AO$83="","",'Results Raw'!$AO$83/100)</x:f>
        <x:v>1</x:v>
      </x:c>
      <x:c r="Q86" s="29" t="str">
        <x:f>'Results Raw'!$AP$83</x:f>
        <x:v>High</x:v>
      </x:c>
      <x:c r="R86" s="29" t="str">
        <x:f>IF(Q86="Unverified","PROXY / UNVERIFIED",IF(P86="","MISSING COVERAGE",IF(P86&lt;75%,"LIMITED COVERAGE","VERIFIED")))</x:f>
        <x:v>VERIFIED</x:v>
      </x:c>
      <x:c r="S86" s="29" t="str">
        <x:f>IF(N86&gt;0.000001,"TERMINAL FCFF FLOOR",IF(OR('Results Raw'!$BK$83=TRUE,'Results Raw'!$BL$83=TRUE),"EV FLOOR",IF(OR(O86="",O86&gt;=4),"DENOMINATOR-SENSITIVE","NORMAL")))</x:f>
        <x:v>NORMAL</x:v>
      </x:c>
      <x:c r="T86" s="29" t="str">
        <x:f>IF(OR(R86="PROXY / UNVERIFIED",R86="MISSING COVERAGE",S86&lt;&gt;"NORMAL"),"EXCLUDE",IF(R86="LIMITED COVERAGE","CAUTION","RANKABLE"))</x:f>
        <x:v>RANKABLE</x:v>
      </x:c>
      <x:c r="U86" s="43" t="str">
        <x:f>IF(T86="EXCLUDE","Illustrative only - do not assign an ordinary rank",IF(T86="CAUTION","Use with facility-coverage caveat","Decision-useable within the stated scenario only"))</x:f>
        <x:v>Decision-useable within the stated scenario only</x:v>
      </x:c>
    </x:row>
    <x:row r="87">
      <x:c r="A87" s="29" t="str">
        <x:f>'Results Raw'!$A$84</x:f>
        <x:v>DE</x:v>
      </x:c>
      <x:c r="B87" s="29" t="str">
        <x:f>'Results Raw'!$B$84</x:f>
        <x:v>Industrials</x:v>
      </x:c>
      <x:c r="C87" s="29" t="str">
        <x:f>'Results Raw'!$E$84</x:f>
        <x:v>CP vs delayed</x:v>
      </x:c>
      <x:c r="D87" s="29" t="str">
        <x:f>'Results Raw'!$I$84</x:f>
        <x:v>base</x:v>
      </x:c>
      <x:c r="E87" s="31" t="n">
        <x:f>'Results Raw'!$M$84/100</x:f>
        <x:v>0.016599644950947345</x:v>
      </x:c>
      <x:c r="F87" s="33" t="n">
        <x:f>('Results Raw'!$O$84-'Results Raw'!$N$84)/1000000000</x:f>
        <x:v>2.5313028497036743</x:v>
      </x:c>
      <x:c r="G87" s="31" t="n">
        <x:f>IF(ABS('Results Raw'!$O$84)+ABS('Results Raw'!$N$84)=0,"",2*('Results Raw'!$O$84-'Results Raw'!$N$84)/(ABS('Results Raw'!$O$84)+ABS('Results Raw'!$N$84)))</x:f>
        <x:v>0.01646300493259393</x:v>
      </x:c>
      <x:c r="H87" s="31" t="n">
        <x:f>'Results Raw'!$Z$84/100</x:f>
        <x:v>0.005996795258775206</x:v>
      </x:c>
      <x:c r="I87" s="31" t="n">
        <x:f>'Results Raw'!$AA$84/100</x:f>
        <x:v>-0.000038548193345773105</x:v>
      </x:c>
      <x:c r="J87" s="31" t="n">
        <x:f>'Results Raw'!$AB$84/100</x:f>
        <x:v>0.010641397885517873</x:v>
      </x:c>
      <x:c r="K87" s="35" t="n">
        <x:f>ABS(E87-SUM(H87:J87))</x:f>
        <x:v>3.8163916471489756e-17</x:v>
      </x:c>
      <x:c r="L87" s="37" t="n">
        <x:f>('Results Raw'!$W$84+'Results Raw'!$X$84+'Results Raw'!$Y$84)/1000000000</x:f>
        <x:v>-0.4601297229648539</x:v>
      </x:c>
      <x:c r="M87" s="37" t="n">
        <x:f>'Results Raw'!$R$84/1000000000</x:f>
        <x:v>0.46012972296485327</x:v>
      </x:c>
      <x:c r="N87" s="37" t="n">
        <x:f>ABS('Results Raw'!$R$84+'Results Raw'!$W$84+'Results Raw'!$X$84+'Results Raw'!$Y$84)/1000000000</x:f>
        <x:v>5.364418029785156e-16</x:v>
      </x:c>
      <x:c r="O87" s="39" t="n">
        <x:f>IF(MIN(ABS('Results Raw'!$O$84),ABS('Results Raw'!$N$84))=0,"",MAX(ABS('Results Raw'!$O$84)/ABS('Results Raw'!$N$84),ABS('Results Raw'!$N$84)/ABS('Results Raw'!$O$84)))</x:f>
        <x:v>1.0165996449509473</x:v>
      </x:c>
      <x:c r="P87" s="41" t="n">
        <x:f>IF('Results Raw'!$AO$84="","",'Results Raw'!$AO$84/100)</x:f>
        <x:v>1</x:v>
      </x:c>
      <x:c r="Q87" s="29" t="str">
        <x:f>'Results Raw'!$AP$84</x:f>
        <x:v>High</x:v>
      </x:c>
      <x:c r="R87" s="29" t="str">
        <x:f>IF(Q87="Unverified","PROXY / UNVERIFIED",IF(P87="","MISSING COVERAGE",IF(P87&lt;75%,"LIMITED COVERAGE","VERIFIED")))</x:f>
        <x:v>VERIFIED</x:v>
      </x:c>
      <x:c r="S87" s="29" t="str">
        <x:f>IF(N87&gt;0.000001,"TERMINAL FCFF FLOOR",IF(OR('Results Raw'!$BK$84=TRUE,'Results Raw'!$BL$84=TRUE),"EV FLOOR",IF(OR(O87="",O87&gt;=4),"DENOMINATOR-SENSITIVE","NORMAL")))</x:f>
        <x:v>NORMAL</x:v>
      </x:c>
      <x:c r="T87" s="29" t="str">
        <x:f>IF(OR(R87="PROXY / UNVERIFIED",R87="MISSING COVERAGE",S87&lt;&gt;"NORMAL"),"EXCLUDE",IF(R87="LIMITED COVERAGE","CAUTION","RANKABLE"))</x:f>
        <x:v>RANKABLE</x:v>
      </x:c>
      <x:c r="U87" s="43" t="str">
        <x:f>IF(T87="EXCLUDE","Illustrative only - do not assign an ordinary rank",IF(T87="CAUTION","Use with facility-coverage caveat","Decision-useable within the stated scenario only"))</x:f>
        <x:v>Decision-useable within the stated scenario only</x:v>
      </x:c>
    </x:row>
    <x:row r="88">
      <x:c r="A88" s="29" t="str">
        <x:f>'Results Raw'!$A$85</x:f>
        <x:v>DE</x:v>
      </x:c>
      <x:c r="B88" s="29" t="str">
        <x:f>'Results Raw'!$B$85</x:f>
        <x:v>Industrials</x:v>
      </x:c>
      <x:c r="C88" s="29" t="str">
        <x:f>'Results Raw'!$E$85</x:f>
        <x:v>CP vs delayed</x:v>
      </x:c>
      <x:c r="D88" s="29" t="str">
        <x:f>'Results Raw'!$I$85</x:f>
        <x:v>high</x:v>
      </x:c>
      <x:c r="E88" s="31" t="n">
        <x:f>'Results Raw'!$M$85/100</x:f>
        <x:v>0.042969437564325474</x:v>
      </x:c>
      <x:c r="F88" s="33" t="n">
        <x:f>('Results Raw'!$O$85-'Results Raw'!$N$85)/1000000000</x:f>
        <x:v>6.340881661842285</x:v>
      </x:c>
      <x:c r="G88" s="31" t="n">
        <x:f>IF(ABS('Results Raw'!$O$85)+ABS('Results Raw'!$N$85)=0,"",2*('Results Raw'!$O$85-'Results Raw'!$N$85)/(ABS('Results Raw'!$O$85)+ABS('Results Raw'!$N$85)))</x:f>
        <x:v>0.04206566850608845</x:v>
      </x:c>
      <x:c r="H88" s="31" t="n">
        <x:f>'Results Raw'!$Z$85/100</x:f>
        <x:v>0.024759863820431046</x:v>
      </x:c>
      <x:c r="I88" s="31" t="n">
        <x:f>'Results Raw'!$AA$85/100</x:f>
        <x:v>-0.0001179065645494371</x:v>
      </x:c>
      <x:c r="J88" s="31" t="n">
        <x:f>'Results Raw'!$AB$85/100</x:f>
        <x:v>0.018327480308443826</x:v>
      </x:c>
      <x:c r="K88" s="35" t="n">
        <x:f>ABS(E88-SUM(H88:J88))</x:f>
        <x:v>4.163336342344337e-17</x:v>
      </x:c>
      <x:c r="L88" s="37" t="n">
        <x:f>('Results Raw'!$W$85+'Results Raw'!$X$85+'Results Raw'!$Y$85)/1000000000</x:f>
        <x:v>-1.2499448048957726</x:v>
      </x:c>
      <x:c r="M88" s="37" t="n">
        <x:f>'Results Raw'!$R$85/1000000000</x:f>
        <x:v>1.2499448048957729</x:v>
      </x:c>
      <x:c r="N88" s="37" t="n">
        <x:f>ABS('Results Raw'!$R$85+'Results Raw'!$W$85+'Results Raw'!$X$85+'Results Raw'!$Y$85)/1000000000</x:f>
        <x:v>2.384185791015625e-16</x:v>
      </x:c>
      <x:c r="O88" s="39" t="n">
        <x:f>IF(MIN(ABS('Results Raw'!$O$85),ABS('Results Raw'!$N$85))=0,"",MAX(ABS('Results Raw'!$O$85)/ABS('Results Raw'!$N$85),ABS('Results Raw'!$N$85)/ABS('Results Raw'!$O$85)))</x:f>
        <x:v>1.0429694375643255</x:v>
      </x:c>
      <x:c r="P88" s="41" t="n">
        <x:f>IF('Results Raw'!$AO$85="","",'Results Raw'!$AO$85/100)</x:f>
        <x:v>1</x:v>
      </x:c>
      <x:c r="Q88" s="29" t="str">
        <x:f>'Results Raw'!$AP$85</x:f>
        <x:v>High</x:v>
      </x:c>
      <x:c r="R88" s="29" t="str">
        <x:f>IF(Q88="Unverified","PROXY / UNVERIFIED",IF(P88="","MISSING COVERAGE",IF(P88&lt;75%,"LIMITED COVERAGE","VERIFIED")))</x:f>
        <x:v>VERIFIED</x:v>
      </x:c>
      <x:c r="S88" s="29" t="str">
        <x:f>IF(N88&gt;0.000001,"TERMINAL FCFF FLOOR",IF(OR('Results Raw'!$BK$85=TRUE,'Results Raw'!$BL$85=TRUE),"EV FLOOR",IF(OR(O88="",O88&gt;=4),"DENOMINATOR-SENSITIVE","NORMAL")))</x:f>
        <x:v>NORMAL</x:v>
      </x:c>
      <x:c r="T88" s="29" t="str">
        <x:f>IF(OR(R88="PROXY / UNVERIFIED",R88="MISSING COVERAGE",S88&lt;&gt;"NORMAL"),"EXCLUDE",IF(R88="LIMITED COVERAGE","CAUTION","RANKABLE"))</x:f>
        <x:v>RANKABLE</x:v>
      </x:c>
      <x:c r="U88" s="43" t="str">
        <x:f>IF(T88="EXCLUDE","Illustrative only - do not assign an ordinary rank",IF(T88="CAUTION","Use with facility-coverage caveat","Decision-useable within the stated scenario only"))</x:f>
        <x:v>Decision-useable within the stated scenario only</x:v>
      </x:c>
    </x:row>
    <x:row r="89">
      <x:c r="A89" s="29" t="str">
        <x:f>'Results Raw'!$A$86</x:f>
        <x:v>DUK</x:v>
      </x:c>
      <x:c r="B89" s="29" t="str">
        <x:f>'Results Raw'!$B$86</x:f>
        <x:v>Utilities</x:v>
      </x:c>
      <x:c r="C89" s="29" t="str">
        <x:f>'Results Raw'!$E$86</x:f>
        <x:v>CP vs delayed</x:v>
      </x:c>
      <x:c r="D89" s="29" t="str">
        <x:f>'Results Raw'!$I$86</x:f>
        <x:v>low</x:v>
      </x:c>
      <x:c r="E89" s="31" t="n">
        <x:f>'Results Raw'!$M$86/100</x:f>
        <x:v>2.1623658964878607</x:v>
      </x:c>
      <x:c r="F89" s="33" t="n">
        <x:f>('Results Raw'!$O$86-'Results Raw'!$N$86)/1000000000</x:f>
        <x:v>33.62390704074727</x:v>
      </x:c>
      <x:c r="G89" s="31" t="n">
        <x:f>IF(ABS('Results Raw'!$O$86)+ABS('Results Raw'!$N$86)=0,"",2*('Results Raw'!$O$86-'Results Raw'!$N$86)/(ABS('Results Raw'!$O$86)+ABS('Results Raw'!$N$86)))</x:f>
        <x:v>1.0390080787046767</x:v>
      </x:c>
      <x:c r="H89" s="31" t="n">
        <x:f>'Results Raw'!$Z$86/100</x:f>
        <x:v>2.127044195501993</x:v>
      </x:c>
      <x:c r="I89" s="31" t="n">
        <x:f>'Results Raw'!$AA$86/100</x:f>
        <x:v>-0.0026279516212252855</x:v>
      </x:c>
      <x:c r="J89" s="31" t="n">
        <x:f>'Results Raw'!$AB$86/100</x:f>
        <x:v>0.03794965260709252</x:v>
      </x:c>
      <x:c r="K89" s="35" t="n">
        <x:f>ABS(E89-SUM(H89:J89))</x:f>
        <x:v>4.440892098500626e-16</x:v>
      </x:c>
      <x:c r="L89" s="37" t="n">
        <x:f>('Results Raw'!$W$86+'Results Raw'!$X$86+'Results Raw'!$Y$86)/1000000000</x:f>
        <x:v>-2.724172318559033</x:v>
      </x:c>
      <x:c r="M89" s="37" t="n">
        <x:f>'Results Raw'!$R$86/1000000000</x:f>
        <x:v>2.448564471432889</x:v>
      </x:c>
      <x:c r="N89" s="37" t="n">
        <x:f>ABS('Results Raw'!$R$86+'Results Raw'!$W$86+'Results Raw'!$X$86+'Results Raw'!$Y$86)/1000000000</x:f>
        <x:v>0.27560784712614417</x:v>
      </x:c>
      <x:c r="O89" s="39" t="n">
        <x:f>IF(MIN(ABS('Results Raw'!$O$86),ABS('Results Raw'!$N$86))=0,"",MAX(ABS('Results Raw'!$O$86)/ABS('Results Raw'!$N$86),ABS('Results Raw'!$N$86)/ABS('Results Raw'!$O$86)))</x:f>
        <x:v>3.1623658964878607</x:v>
      </x:c>
      <x:c r="P89" s="41" t="n">
        <x:f>IF('Results Raw'!$AO$86="","",'Results Raw'!$AO$86/100)</x:f>
        <x:v>0.9795918367346939</x:v>
      </x:c>
      <x:c r="Q89" s="29" t="str">
        <x:f>'Results Raw'!$AP$86</x:f>
        <x:v>High</x:v>
      </x:c>
      <x:c r="R89" s="29" t="str">
        <x:f>IF(Q89="Unverified","PROXY / UNVERIFIED",IF(P89="","MISSING COVERAGE",IF(P89&lt;75%,"LIMITED COVERAGE","VERIFIED")))</x:f>
        <x:v>VERIFIED</x:v>
      </x:c>
      <x:c r="S89" s="29" t="str">
        <x:f>IF(N89&gt;0.000001,"TERMINAL FCFF FLOOR",IF(OR('Results Raw'!$BK$86=TRUE,'Results Raw'!$BL$86=TRUE),"EV FLOOR",IF(OR(O89="",O89&gt;=4),"DENOMINATOR-SENSITIVE","NORMAL")))</x:f>
        <x:v>TERMINAL FCFF FLOOR</x:v>
      </x:c>
      <x:c r="T89" s="29" t="str">
        <x:f>IF(OR(R89="PROXY / UNVERIFIED",R89="MISSING COVERAGE",S89&lt;&gt;"NORMAL"),"EXCLUDE",IF(R89="LIMITED COVERAGE","CAUTION","RANKABLE"))</x:f>
        <x:v>EXCLUDE</x:v>
      </x:c>
      <x:c r="U89" s="43" t="str">
        <x:f>IF(T89="EXCLUDE","Illustrative only - do not assign an ordinary rank",IF(T89="CAUTION","Use with facility-coverage caveat","Decision-useable within the stated scenario only"))</x:f>
        <x:v>Illustrative only - do not assign an ordinary rank</x:v>
      </x:c>
    </x:row>
    <x:row r="90">
      <x:c r="A90" s="29" t="str">
        <x:f>'Results Raw'!$A$87</x:f>
        <x:v>DUK</x:v>
      </x:c>
      <x:c r="B90" s="29" t="str">
        <x:f>'Results Raw'!$B$87</x:f>
        <x:v>Utilities</x:v>
      </x:c>
      <x:c r="C90" s="29" t="str">
        <x:f>'Results Raw'!$E$87</x:f>
        <x:v>CP vs delayed</x:v>
      </x:c>
      <x:c r="D90" s="29" t="str">
        <x:f>'Results Raw'!$I$87</x:f>
        <x:v>base</x:v>
      </x:c>
      <x:c r="E90" s="31" t="n">
        <x:f>'Results Raw'!$M$87/100</x:f>
        <x:v>4.256677462801987</x:v>
      </x:c>
      <x:c r="F90" s="33" t="n">
        <x:f>('Results Raw'!$O$87-'Results Raw'!$N$87)/1000000000</x:f>
        <x:v>38.67292229732451</x:v>
      </x:c>
      <x:c r="G90" s="31" t="n">
        <x:f>IF(ABS('Results Raw'!$O$87)+ABS('Results Raw'!$N$87)=0,"",2*('Results Raw'!$O$87-'Results Raw'!$N$87)/(ABS('Results Raw'!$O$87)+ABS('Results Raw'!$N$87)))</x:f>
        <x:v>1.3606830424324536</x:v>
      </x:c>
      <x:c r="H90" s="31" t="n">
        <x:f>'Results Raw'!$Z$87/100</x:f>
        <x:v>4.173384095784606</x:v>
      </x:c>
      <x:c r="I90" s="31" t="n">
        <x:f>'Results Raw'!$AA$87/100</x:f>
        <x:v>-0.010348714345272805</x:v>
      </x:c>
      <x:c r="J90" s="31" t="n">
        <x:f>'Results Raw'!$AB$87/100</x:f>
        <x:v>0.0936420813626534</x:v>
      </x:c>
      <x:c r="K90" s="35" t="n">
        <x:f>ABS(E90-SUM(H90:J90))</x:f>
        <x:v>8.881784197001252e-16</x:v>
      </x:c>
      <x:c r="L90" s="37" t="n">
        <x:f>('Results Raw'!$W$87+'Results Raw'!$X$87+'Results Raw'!$Y$87)/1000000000</x:f>
        <x:v>-11.324605756492875</x:v>
      </x:c>
      <x:c r="M90" s="37" t="n">
        <x:f>'Results Raw'!$R$87/1000000000</x:f>
        <x:v>2.3541000657372284</x:v>
      </x:c>
      <x:c r="N90" s="37" t="n">
        <x:f>ABS('Results Raw'!$R$87+'Results Raw'!$W$87+'Results Raw'!$X$87+'Results Raw'!$Y$87)/1000000000</x:f>
        <x:v>8.970505690755648</x:v>
      </x:c>
      <x:c r="O90" s="39" t="n">
        <x:f>IF(MIN(ABS('Results Raw'!$O$87),ABS('Results Raw'!$N$87))=0,"",MAX(ABS('Results Raw'!$O$87)/ABS('Results Raw'!$N$87),ABS('Results Raw'!$N$87)/ABS('Results Raw'!$O$87)))</x:f>
        <x:v>5.256677462801987</x:v>
      </x:c>
      <x:c r="P90" s="41" t="n">
        <x:f>IF('Results Raw'!$AO$87="","",'Results Raw'!$AO$87/100)</x:f>
        <x:v>0.9795918367346939</x:v>
      </x:c>
      <x:c r="Q90" s="29" t="str">
        <x:f>'Results Raw'!$AP$87</x:f>
        <x:v>High</x:v>
      </x:c>
      <x:c r="R90" s="29" t="str">
        <x:f>IF(Q90="Unverified","PROXY / UNVERIFIED",IF(P90="","MISSING COVERAGE",IF(P90&lt;75%,"LIMITED COVERAGE","VERIFIED")))</x:f>
        <x:v>VERIFIED</x:v>
      </x:c>
      <x:c r="S90" s="29" t="str">
        <x:f>IF(N90&gt;0.000001,"TERMINAL FCFF FLOOR",IF(OR('Results Raw'!$BK$87=TRUE,'Results Raw'!$BL$87=TRUE),"EV FLOOR",IF(OR(O90="",O90&gt;=4),"DENOMINATOR-SENSITIVE","NORMAL")))</x:f>
        <x:v>TERMINAL FCFF FLOOR</x:v>
      </x:c>
      <x:c r="T90" s="29" t="str">
        <x:f>IF(OR(R90="PROXY / UNVERIFIED",R90="MISSING COVERAGE",S90&lt;&gt;"NORMAL"),"EXCLUDE",IF(R90="LIMITED COVERAGE","CAUTION","RANKABLE"))</x:f>
        <x:v>EXCLUDE</x:v>
      </x:c>
      <x:c r="U90" s="43" t="str">
        <x:f>IF(T90="EXCLUDE","Illustrative only - do not assign an ordinary rank",IF(T90="CAUTION","Use with facility-coverage caveat","Decision-useable within the stated scenario only"))</x:f>
        <x:v>Illustrative only - do not assign an ordinary rank</x:v>
      </x:c>
    </x:row>
    <x:row r="91">
      <x:c r="A91" s="29" t="str">
        <x:f>'Results Raw'!$A$88</x:f>
        <x:v>DUK</x:v>
      </x:c>
      <x:c r="B91" s="29" t="str">
        <x:f>'Results Raw'!$B$88</x:f>
        <x:v>Utilities</x:v>
      </x:c>
      <x:c r="C91" s="29" t="str">
        <x:f>'Results Raw'!$E$88</x:f>
        <x:v>CP vs delayed</x:v>
      </x:c>
      <x:c r="D91" s="29" t="str">
        <x:f>'Results Raw'!$I$88</x:f>
        <x:v>high</x:v>
      </x:c>
      <x:c r="E91" s="31" t="n">
        <x:f>'Results Raw'!$M$88/100</x:f>
        <x:v>5.108039128144882</x:v>
      </x:c>
      <x:c r="F91" s="33" t="n">
        <x:f>('Results Raw'!$O$88-'Results Raw'!$N$88)/1000000000</x:f>
        <x:v>37.80810748234204</x:v>
      </x:c>
      <x:c r="G91" s="31" t="n">
        <x:f>IF(ABS('Results Raw'!$O$88)+ABS('Results Raw'!$N$88)=0,"",2*('Results Raw'!$O$88-'Results Raw'!$N$88)/(ABS('Results Raw'!$O$88)+ABS('Results Raw'!$N$88)))</x:f>
        <x:v>1.4372568963271937</x:v>
      </x:c>
      <x:c r="H91" s="31" t="n">
        <x:f>'Results Raw'!$Z$88/100</x:f>
        <x:v>4.947331184007827</x:v>
      </x:c>
      <x:c r="I91" s="31" t="n">
        <x:f>'Results Raw'!$AA$88/100</x:f>
        <x:v>-0.023219023028725472</x:v>
      </x:c>
      <x:c r="J91" s="31" t="n">
        <x:f>'Results Raw'!$AB$88/100</x:f>
        <x:v>0.18392696716578022</x:v>
      </x:c>
      <x:c r="K91" s="35" t="n">
        <x:f>ABS(E91-SUM(H91:J91))</x:f>
        <x:v>8.881784197001252e-16</x:v>
      </x:c>
      <x:c r="L91" s="37" t="n">
        <x:f>('Results Raw'!$W$88+'Results Raw'!$X$88+'Results Raw'!$Y$88)/1000000000</x:f>
        <x:v>-35.13193499715815</x:v>
      </x:c>
      <x:c r="M91" s="37" t="n">
        <x:f>'Results Raw'!$R$88/1000000000</x:f>
        <x:v>2.1806798623662855</x:v>
      </x:c>
      <x:c r="N91" s="37" t="n">
        <x:f>ABS('Results Raw'!$R$88+'Results Raw'!$W$88+'Results Raw'!$X$88+'Results Raw'!$Y$88)/1000000000</x:f>
        <x:v>32.95125513479186</x:v>
      </x:c>
      <x:c r="O91" s="39" t="n">
        <x:f>IF(MIN(ABS('Results Raw'!$O$88),ABS('Results Raw'!$N$88))=0,"",MAX(ABS('Results Raw'!$O$88)/ABS('Results Raw'!$N$88),ABS('Results Raw'!$N$88)/ABS('Results Raw'!$O$88)))</x:f>
        <x:v>6.108039128144882</x:v>
      </x:c>
      <x:c r="P91" s="41" t="n">
        <x:f>IF('Results Raw'!$AO$88="","",'Results Raw'!$AO$88/100)</x:f>
        <x:v>0.9795918367346939</x:v>
      </x:c>
      <x:c r="Q91" s="29" t="str">
        <x:f>'Results Raw'!$AP$88</x:f>
        <x:v>High</x:v>
      </x:c>
      <x:c r="R91" s="29" t="str">
        <x:f>IF(Q91="Unverified","PROXY / UNVERIFIED",IF(P91="","MISSING COVERAGE",IF(P91&lt;75%,"LIMITED COVERAGE","VERIFIED")))</x:f>
        <x:v>VERIFIED</x:v>
      </x:c>
      <x:c r="S91" s="29" t="str">
        <x:f>IF(N91&gt;0.000001,"TERMINAL FCFF FLOOR",IF(OR('Results Raw'!$BK$88=TRUE,'Results Raw'!$BL$88=TRUE),"EV FLOOR",IF(OR(O91="",O91&gt;=4),"DENOMINATOR-SENSITIVE","NORMAL")))</x:f>
        <x:v>TERMINAL FCFF FLOOR</x:v>
      </x:c>
      <x:c r="T91" s="29" t="str">
        <x:f>IF(OR(R91="PROXY / UNVERIFIED",R91="MISSING COVERAGE",S91&lt;&gt;"NORMAL"),"EXCLUDE",IF(R91="LIMITED COVERAGE","CAUTION","RANKABLE"))</x:f>
        <x:v>EXCLUDE</x:v>
      </x:c>
      <x:c r="U91" s="43" t="str">
        <x:f>IF(T91="EXCLUDE","Illustrative only - do not assign an ordinary rank",IF(T91="CAUTION","Use with facility-coverage caveat","Decision-useable within the stated scenario only"))</x:f>
        <x:v>Illustrative only - do not assign an ordinary rank</x:v>
      </x:c>
    </x:row>
    <x:row r="92">
      <x:c r="A92" s="29" t="str">
        <x:f>'Results Raw'!$A$89</x:f>
        <x:v>MSFT</x:v>
      </x:c>
      <x:c r="B92" s="29" t="str">
        <x:f>'Results Raw'!$B$89</x:f>
        <x:v>Technology</x:v>
      </x:c>
      <x:c r="C92" s="29" t="str">
        <x:f>'Results Raw'!$E$89</x:f>
        <x:v>CP vs delayed</x:v>
      </x:c>
      <x:c r="D92" s="29" t="str">
        <x:f>'Results Raw'!$I$89</x:f>
        <x:v>low</x:v>
      </x:c>
      <x:c r="E92" s="31" t="n">
        <x:f>'Results Raw'!$M$89/100</x:f>
        <x:v>0.007813702943422651</x:v>
      </x:c>
      <x:c r="F92" s="33" t="n">
        <x:f>('Results Raw'!$O$89-'Results Raw'!$N$89)/1000000000</x:f>
        <x:v>8.160058622624756</x:v>
      </x:c>
      <x:c r="G92" s="31" t="n">
        <x:f>IF(ABS('Results Raw'!$O$89)+ABS('Results Raw'!$N$89)=0,"",2*('Results Raw'!$O$89-'Results Raw'!$N$89)/(ABS('Results Raw'!$O$89)+ABS('Results Raw'!$N$89)))</x:f>
        <x:v>0.007783294766808276</x:v>
      </x:c>
      <x:c r="H92" s="31" t="n">
        <x:f>'Results Raw'!$Z$89/100</x:f>
        <x:v>0.00005488439091755519</x:v>
      </x:c>
      <x:c r="I92" s="31" t="n">
        <x:f>'Results Raw'!$AA$89/100</x:f>
        <x:v>-0.000013068906828412133</x:v>
      </x:c>
      <x:c r="J92" s="31" t="n">
        <x:f>'Results Raw'!$AB$89/100</x:f>
        <x:v>0.0077718874593336006</x:v>
      </x:c>
      <x:c r="K92" s="35" t="n">
        <x:f>ABS(E92-SUM(H92:J92))</x:f>
        <x:v>9.194034422677078e-17</x:v>
      </x:c>
      <x:c r="L92" s="37" t="n">
        <x:f>('Results Raw'!$W$89+'Results Raw'!$X$89+'Results Raw'!$Y$89)/1000000000</x:f>
        <x:v>-2.1022710320303313</x:v>
      </x:c>
      <x:c r="M92" s="37" t="n">
        <x:f>'Results Raw'!$R$89/1000000000</x:f>
        <x:v>2.1022710320303344</x:v>
      </x:c>
      <x:c r="N92" s="37" t="n">
        <x:f>ABS('Results Raw'!$R$89+'Results Raw'!$W$89+'Results Raw'!$X$89+'Results Raw'!$Y$89)/1000000000</x:f>
        <x:v>3.337860107421875e-15</x:v>
      </x:c>
      <x:c r="O92" s="39" t="n">
        <x:f>IF(MIN(ABS('Results Raw'!$O$89),ABS('Results Raw'!$N$89))=0,"",MAX(ABS('Results Raw'!$O$89)/ABS('Results Raw'!$N$89),ABS('Results Raw'!$N$89)/ABS('Results Raw'!$O$89)))</x:f>
        <x:v>1.0078137029434227</x:v>
      </x:c>
      <x:c r="P92" s="41" t="str">
        <x:f>IF('Results Raw'!$AO$89="","",'Results Raw'!$AO$89/100)</x:f>
      </x:c>
      <x:c r="Q92" s="29" t="str">
        <x:f>'Results Raw'!$AP$89</x:f>
        <x:v>Unverified</x:v>
      </x:c>
      <x:c r="R92" s="29" t="str">
        <x:f>IF(Q92="Unverified","PROXY / UNVERIFIED",IF(P92="","MISSING COVERAGE",IF(P92&lt;75%,"LIMITED COVERAGE","VERIFIED")))</x:f>
        <x:v>PROXY / UNVERIFIED</x:v>
      </x:c>
      <x:c r="S92" s="29" t="str">
        <x:f>IF(N92&gt;0.000001,"TERMINAL FCFF FLOOR",IF(OR('Results Raw'!$BK$89=TRUE,'Results Raw'!$BL$89=TRUE),"EV FLOOR",IF(OR(O92="",O92&gt;=4),"DENOMINATOR-SENSITIVE","NORMAL")))</x:f>
        <x:v>NORMAL</x:v>
      </x:c>
      <x:c r="T92" s="29" t="str">
        <x:f>IF(OR(R92="PROXY / UNVERIFIED",R92="MISSING COVERAGE",S92&lt;&gt;"NORMAL"),"EXCLUDE",IF(R92="LIMITED COVERAGE","CAUTION","RANKABLE"))</x:f>
        <x:v>EXCLUDE</x:v>
      </x:c>
      <x:c r="U92" s="43" t="str">
        <x:f>IF(T92="EXCLUDE","Illustrative only - do not assign an ordinary rank",IF(T92="CAUTION","Use with facility-coverage caveat","Decision-useable within the stated scenario only"))</x:f>
        <x:v>Illustrative only - do not assign an ordinary rank</x:v>
      </x:c>
    </x:row>
    <x:row r="93">
      <x:c r="A93" s="29" t="str">
        <x:f>'Results Raw'!$A$90</x:f>
        <x:v>MSFT</x:v>
      </x:c>
      <x:c r="B93" s="29" t="str">
        <x:f>'Results Raw'!$B$90</x:f>
        <x:v>Technology</x:v>
      </x:c>
      <x:c r="C93" s="29" t="str">
        <x:f>'Results Raw'!$E$90</x:f>
        <x:v>CP vs delayed</x:v>
      </x:c>
      <x:c r="D93" s="29" t="str">
        <x:f>'Results Raw'!$I$90</x:f>
        <x:v>base</x:v>
      </x:c>
      <x:c r="E93" s="31" t="n">
        <x:f>'Results Raw'!$M$90/100</x:f>
        <x:v>0.013691887123201463</x:v>
      </x:c>
      <x:c r="F93" s="33" t="n">
        <x:f>('Results Raw'!$O$90-'Results Raw'!$N$90)/1000000000</x:f>
        <x:v>14.162266633122558</x:v>
      </x:c>
      <x:c r="G93" s="31" t="n">
        <x:f>IF(ABS('Results Raw'!$O$90)+ABS('Results Raw'!$N$90)=0,"",2*('Results Raw'!$O$90-'Results Raw'!$N$90)/(ABS('Results Raw'!$O$90)+ABS('Results Raw'!$N$90)))</x:f>
        <x:v>0.013598790570450154</x:v>
      </x:c>
      <x:c r="H93" s="31" t="n">
        <x:f>'Results Raw'!$Z$90/100</x:f>
        <x:v>0.0002809965636888925</x:v>
      </x:c>
      <x:c r="I93" s="31" t="n">
        <x:f>'Results Raw'!$AA$90/100</x:f>
        <x:v>-0.000040792775305454824</x:v>
      </x:c>
      <x:c r="J93" s="31" t="n">
        <x:f>'Results Raw'!$AB$90/100</x:f>
        <x:v>0.013451683334818044</x:v>
      </x:c>
      <x:c r="K93" s="35" t="n">
        <x:f>ABS(E93-SUM(H93:J93))</x:f>
        <x:v>1.9081958235744878e-17</x:v>
      </x:c>
      <x:c r="L93" s="37" t="n">
        <x:f>('Results Raw'!$W$90+'Results Raw'!$X$90+'Results Raw'!$Y$90)/1000000000</x:f>
        <x:v>-3.6627969699088947</x:v>
      </x:c>
      <x:c r="M93" s="37" t="n">
        <x:f>'Results Raw'!$R$90/1000000000</x:f>
        <x:v>3.66279696990889</x:v>
      </x:c>
      <x:c r="N93" s="37" t="n">
        <x:f>ABS('Results Raw'!$R$90+'Results Raw'!$W$90+'Results Raw'!$X$90+'Results Raw'!$Y$90)/1000000000</x:f>
        <x:v>4.76837158203125e-15</x:v>
      </x:c>
      <x:c r="O93" s="39" t="n">
        <x:f>IF(MIN(ABS('Results Raw'!$O$90),ABS('Results Raw'!$N$90))=0,"",MAX(ABS('Results Raw'!$O$90)/ABS('Results Raw'!$N$90),ABS('Results Raw'!$N$90)/ABS('Results Raw'!$O$90)))</x:f>
        <x:v>1.0136918871232015</x:v>
      </x:c>
      <x:c r="P93" s="41" t="str">
        <x:f>IF('Results Raw'!$AO$90="","",'Results Raw'!$AO$90/100)</x:f>
      </x:c>
      <x:c r="Q93" s="29" t="str">
        <x:f>'Results Raw'!$AP$90</x:f>
        <x:v>Unverified</x:v>
      </x:c>
      <x:c r="R93" s="29" t="str">
        <x:f>IF(Q93="Unverified","PROXY / UNVERIFIED",IF(P93="","MISSING COVERAGE",IF(P93&lt;75%,"LIMITED COVERAGE","VERIFIED")))</x:f>
        <x:v>PROXY / UNVERIFIED</x:v>
      </x:c>
      <x:c r="S93" s="29" t="str">
        <x:f>IF(N93&gt;0.000001,"TERMINAL FCFF FLOOR",IF(OR('Results Raw'!$BK$90=TRUE,'Results Raw'!$BL$90=TRUE),"EV FLOOR",IF(OR(O93="",O93&gt;=4),"DENOMINATOR-SENSITIVE","NORMAL")))</x:f>
        <x:v>NORMAL</x:v>
      </x:c>
      <x:c r="T93" s="29" t="str">
        <x:f>IF(OR(R93="PROXY / UNVERIFIED",R93="MISSING COVERAGE",S93&lt;&gt;"NORMAL"),"EXCLUDE",IF(R93="LIMITED COVERAGE","CAUTION","RANKABLE"))</x:f>
        <x:v>EXCLUDE</x:v>
      </x:c>
      <x:c r="U93" s="43" t="str">
        <x:f>IF(T93="EXCLUDE","Illustrative only - do not assign an ordinary rank",IF(T93="CAUTION","Use with facility-coverage caveat","Decision-useable within the stated scenario only"))</x:f>
        <x:v>Illustrative only - do not assign an ordinary rank</x:v>
      </x:c>
    </x:row>
    <x:row r="94">
      <x:c r="A94" s="29" t="str">
        <x:f>'Results Raw'!$A$91</x:f>
        <x:v>MSFT</x:v>
      </x:c>
      <x:c r="B94" s="29" t="str">
        <x:f>'Results Raw'!$B$91</x:f>
        <x:v>Technology</x:v>
      </x:c>
      <x:c r="C94" s="29" t="str">
        <x:f>'Results Raw'!$E$91</x:f>
        <x:v>CP vs delayed</x:v>
      </x:c>
      <x:c r="D94" s="29" t="str">
        <x:f>'Results Raw'!$I$91</x:f>
        <x:v>high</x:v>
      </x:c>
      <x:c r="E94" s="31" t="n">
        <x:f>'Results Raw'!$M$91/100</x:f>
        <x:v>0.02386010956815121</x:v>
      </x:c>
      <x:c r="F94" s="33" t="n">
        <x:f>('Results Raw'!$O$91-'Results Raw'!$N$91)/1000000000</x:f>
        <x:v>24.239461598530518</x:v>
      </x:c>
      <x:c r="G94" s="31" t="n">
        <x:f>IF(ABS('Results Raw'!$O$91)+ABS('Results Raw'!$N$91)=0,"",2*('Results Raw'!$O$91-'Results Raw'!$N$91)/(ABS('Results Raw'!$O$91)+ABS('Results Raw'!$N$91)))</x:f>
        <x:v>0.02357881303687778</x:v>
      </x:c>
      <x:c r="H94" s="31" t="n">
        <x:f>'Results Raw'!$Z$91/100</x:f>
        <x:v>0.0011449805086771714</x:v>
      </x:c>
      <x:c r="I94" s="31" t="n">
        <x:f>'Results Raw'!$AA$91/100</x:f>
        <x:v>-0.0001116326739330685</x:v>
      </x:c>
      <x:c r="J94" s="31" t="n">
        <x:f>'Results Raw'!$AB$91/100</x:f>
        <x:v>0.0228267617334071</x:v>
      </x:c>
      <x:c r="K94" s="35" t="n">
        <x:f>ABS(E94-SUM(H94:J94))</x:f>
        <x:v>6.938893903907228e-18</x:v>
      </x:c>
      <x:c r="L94" s="37" t="n">
        <x:f>('Results Raw'!$W$91+'Results Raw'!$X$91+'Results Raw'!$Y$91)/1000000000</x:f>
        <x:v>-6.339807937634573</x:v>
      </x:c>
      <x:c r="M94" s="37" t="n">
        <x:f>'Results Raw'!$R$91/1000000000</x:f>
        <x:v>6.339807937634567</x:v>
      </x:c>
      <x:c r="N94" s="37" t="n">
        <x:f>ABS('Results Raw'!$R$91+'Results Raw'!$W$91+'Results Raw'!$X$91+'Results Raw'!$Y$91)/1000000000</x:f>
        <x:v>5.7220458984375e-15</x:v>
      </x:c>
      <x:c r="O94" s="39" t="n">
        <x:f>IF(MIN(ABS('Results Raw'!$O$91),ABS('Results Raw'!$N$91))=0,"",MAX(ABS('Results Raw'!$O$91)/ABS('Results Raw'!$N$91),ABS('Results Raw'!$N$91)/ABS('Results Raw'!$O$91)))</x:f>
        <x:v>1.0238601095681512</x:v>
      </x:c>
      <x:c r="P94" s="41" t="str">
        <x:f>IF('Results Raw'!$AO$91="","",'Results Raw'!$AO$91/100)</x:f>
      </x:c>
      <x:c r="Q94" s="29" t="str">
        <x:f>'Results Raw'!$AP$91</x:f>
        <x:v>Unverified</x:v>
      </x:c>
      <x:c r="R94" s="29" t="str">
        <x:f>IF(Q94="Unverified","PROXY / UNVERIFIED",IF(P94="","MISSING COVERAGE",IF(P94&lt;75%,"LIMITED COVERAGE","VERIFIED")))</x:f>
        <x:v>PROXY / UNVERIFIED</x:v>
      </x:c>
      <x:c r="S94" s="29" t="str">
        <x:f>IF(N94&gt;0.000001,"TERMINAL FCFF FLOOR",IF(OR('Results Raw'!$BK$91=TRUE,'Results Raw'!$BL$91=TRUE),"EV FLOOR",IF(OR(O94="",O94&gt;=4),"DENOMINATOR-SENSITIVE","NORMAL")))</x:f>
        <x:v>NORMAL</x:v>
      </x:c>
      <x:c r="T94" s="29" t="str">
        <x:f>IF(OR(R94="PROXY / UNVERIFIED",R94="MISSING COVERAGE",S94&lt;&gt;"NORMAL"),"EXCLUDE",IF(R94="LIMITED COVERAGE","CAUTION","RANKABLE"))</x:f>
        <x:v>EXCLUDE</x:v>
      </x:c>
      <x:c r="U94" s="43" t="str">
        <x:f>IF(T94="EXCLUDE","Illustrative only - do not assign an ordinary rank",IF(T94="CAUTION","Use with facility-coverage caveat","Decision-useable within the stated scenario only"))</x:f>
        <x:v>Illustrative only - do not assign an ordinary rank</x:v>
      </x:c>
    </x:row>
    <x:row r="95">
      <x:c r="A95" s="29" t="str">
        <x:f>'Results Raw'!$A$92</x:f>
        <x:v>NEE</x:v>
      </x:c>
      <x:c r="B95" s="29" t="str">
        <x:f>'Results Raw'!$B$92</x:f>
        <x:v>Utilities</x:v>
      </x:c>
      <x:c r="C95" s="29" t="str">
        <x:f>'Results Raw'!$E$92</x:f>
        <x:v>CP vs delayed</x:v>
      </x:c>
      <x:c r="D95" s="29" t="str">
        <x:f>'Results Raw'!$I$92</x:f>
        <x:v>low</x:v>
      </x:c>
      <x:c r="E95" s="31" t="n">
        <x:f>'Results Raw'!$M$92/100</x:f>
        <x:v>0.07303296144907168</x:v>
      </x:c>
      <x:c r="F95" s="33" t="n">
        <x:f>('Results Raw'!$O$92-'Results Raw'!$N$92)/1000000000</x:f>
        <x:v>13.98576783750418</x:v>
      </x:c>
      <x:c r="G95" s="31" t="n">
        <x:f>IF(ABS('Results Raw'!$O$92)+ABS('Results Raw'!$N$92)=0,"",2*('Results Raw'!$O$92-'Results Raw'!$N$92)/(ABS('Results Raw'!$O$92)+ABS('Results Raw'!$N$92)))</x:f>
        <x:v>0.07046000985726807</x:v>
      </x:c>
      <x:c r="H95" s="31" t="n">
        <x:f>'Results Raw'!$Z$92/100</x:f>
        <x:v>0.052661302211481846</x:v>
      </x:c>
      <x:c r="I95" s="31" t="n">
        <x:f>'Results Raw'!$AA$92/100</x:f>
        <x:v>-0.0003192536278443992</x:v>
      </x:c>
      <x:c r="J95" s="31" t="n">
        <x:f>'Results Raw'!$AB$92/100</x:f>
        <x:v>0.02069091286543414</x:v>
      </x:c>
      <x:c r="K95" s="35" t="n">
        <x:f>ABS(E95-SUM(H95:J95))</x:f>
        <x:v>8.326672684688674e-17</x:v>
      </x:c>
      <x:c r="L95" s="37" t="n">
        <x:f>('Results Raw'!$W$92+'Results Raw'!$X$92+'Results Raw'!$Y$92)/1000000000</x:f>
        <x:v>-1.9495440554581456</x:v>
      </x:c>
      <x:c r="M95" s="37" t="n">
        <x:f>'Results Raw'!$R$92/1000000000</x:f>
        <x:v>1.9495440554581451</x:v>
      </x:c>
      <x:c r="N95" s="37" t="n">
        <x:f>ABS('Results Raw'!$R$92+'Results Raw'!$W$92+'Results Raw'!$X$92+'Results Raw'!$Y$92)/1000000000</x:f>
        <x:v>4.76837158203125e-16</x:v>
      </x:c>
      <x:c r="O95" s="39" t="n">
        <x:f>IF(MIN(ABS('Results Raw'!$O$92),ABS('Results Raw'!$N$92))=0,"",MAX(ABS('Results Raw'!$O$92)/ABS('Results Raw'!$N$92),ABS('Results Raw'!$N$92)/ABS('Results Raw'!$O$92)))</x:f>
        <x:v>1.0730329614490717</x:v>
      </x:c>
      <x:c r="P95" s="41" t="n">
        <x:f>IF('Results Raw'!$AO$92="","",'Results Raw'!$AO$92/100)</x:f>
        <x:v>0.8518518518518519</x:v>
      </x:c>
      <x:c r="Q95" s="29" t="str">
        <x:f>'Results Raw'!$AP$92</x:f>
        <x:v>High</x:v>
      </x:c>
      <x:c r="R95" s="29" t="str">
        <x:f>IF(Q95="Unverified","PROXY / UNVERIFIED",IF(P95="","MISSING COVERAGE",IF(P95&lt;75%,"LIMITED COVERAGE","VERIFIED")))</x:f>
        <x:v>VERIFIED</x:v>
      </x:c>
      <x:c r="S95" s="29" t="str">
        <x:f>IF(N95&gt;0.000001,"TERMINAL FCFF FLOOR",IF(OR('Results Raw'!$BK$92=TRUE,'Results Raw'!$BL$92=TRUE),"EV FLOOR",IF(OR(O95="",O95&gt;=4),"DENOMINATOR-SENSITIVE","NORMAL")))</x:f>
        <x:v>NORMAL</x:v>
      </x:c>
      <x:c r="T95" s="29" t="str">
        <x:f>IF(OR(R95="PROXY / UNVERIFIED",R95="MISSING COVERAGE",S95&lt;&gt;"NORMAL"),"EXCLUDE",IF(R95="LIMITED COVERAGE","CAUTION","RANKABLE"))</x:f>
        <x:v>RANKABLE</x:v>
      </x:c>
      <x:c r="U95" s="43" t="str">
        <x:f>IF(T95="EXCLUDE","Illustrative only - do not assign an ordinary rank",IF(T95="CAUTION","Use with facility-coverage caveat","Decision-useable within the stated scenario only"))</x:f>
        <x:v>Decision-useable within the stated scenario only</x:v>
      </x:c>
    </x:row>
    <x:row r="96">
      <x:c r="A96" s="29" t="str">
        <x:f>'Results Raw'!$A$93</x:f>
        <x:v>NEE</x:v>
      </x:c>
      <x:c r="B96" s="29" t="str">
        <x:f>'Results Raw'!$B$93</x:f>
        <x:v>Utilities</x:v>
      </x:c>
      <x:c r="C96" s="29" t="str">
        <x:f>'Results Raw'!$E$93</x:f>
        <x:v>CP vs delayed</x:v>
      </x:c>
      <x:c r="D96" s="29" t="str">
        <x:f>'Results Raw'!$I$93</x:f>
        <x:v>base</x:v>
      </x:c>
      <x:c r="E96" s="31" t="n">
        <x:f>'Results Raw'!$M$93/100</x:f>
        <x:v>0.29639967406482826</x:v>
      </x:c>
      <x:c r="F96" s="33" t="n">
        <x:f>('Results Raw'!$O$93-'Results Raw'!$N$93)/1000000000</x:f>
        <x:v>46.45057168104239</x:v>
      </x:c>
      <x:c r="G96" s="31" t="n">
        <x:f>IF(ABS('Results Raw'!$O$93)+ABS('Results Raw'!$N$93)=0,"",2*('Results Raw'!$O$93-'Results Raw'!$N$93)/(ABS('Results Raw'!$O$93)+ABS('Results Raw'!$N$93)))</x:f>
        <x:v>0.25814293340337824</x:v>
      </x:c>
      <x:c r="H96" s="31" t="n">
        <x:f>'Results Raw'!$Z$93/100</x:f>
        <x:v>0.2541482792762133</x:v>
      </x:c>
      <x:c r="I96" s="31" t="n">
        <x:f>'Results Raw'!$AA$93/100</x:f>
        <x:v>-0.0010914007840728123</x:v>
      </x:c>
      <x:c r="J96" s="31" t="n">
        <x:f>'Results Raw'!$AB$93/100</x:f>
        <x:v>0.04334279557268776</x:v>
      </x:c>
      <x:c r="K96" s="35" t="n">
        <x:f>ABS(E96-SUM(H96:J96))</x:f>
        <x:v>0</x:v>
      </x:c>
      <x:c r="L96" s="37" t="n">
        <x:f>('Results Raw'!$W$93+'Results Raw'!$X$93+'Results Raw'!$Y$93)/1000000000</x:f>
        <x:v>-6.942502527069931</x:v>
      </x:c>
      <x:c r="M96" s="37" t="n">
        <x:f>'Results Raw'!$R$93/1000000000</x:f>
        <x:v>6.942502527069931</x:v>
      </x:c>
      <x:c r="N96" s="37" t="n">
        <x:f>ABS('Results Raw'!$R$93+'Results Raw'!$W$93+'Results Raw'!$X$93+'Results Raw'!$Y$93)/1000000000</x:f>
        <x:v>4.76837158203125e-16</x:v>
      </x:c>
      <x:c r="O96" s="39" t="n">
        <x:f>IF(MIN(ABS('Results Raw'!$O$93),ABS('Results Raw'!$N$93))=0,"",MAX(ABS('Results Raw'!$O$93)/ABS('Results Raw'!$N$93),ABS('Results Raw'!$N$93)/ABS('Results Raw'!$O$93)))</x:f>
        <x:v>1.2963996740648283</x:v>
      </x:c>
      <x:c r="P96" s="41" t="n">
        <x:f>IF('Results Raw'!$AO$93="","",'Results Raw'!$AO$93/100)</x:f>
        <x:v>0.8518518518518519</x:v>
      </x:c>
      <x:c r="Q96" s="29" t="str">
        <x:f>'Results Raw'!$AP$93</x:f>
        <x:v>High</x:v>
      </x:c>
      <x:c r="R96" s="29" t="str">
        <x:f>IF(Q96="Unverified","PROXY / UNVERIFIED",IF(P96="","MISSING COVERAGE",IF(P96&lt;75%,"LIMITED COVERAGE","VERIFIED")))</x:f>
        <x:v>VERIFIED</x:v>
      </x:c>
      <x:c r="S96" s="29" t="str">
        <x:f>IF(N96&gt;0.000001,"TERMINAL FCFF FLOOR",IF(OR('Results Raw'!$BK$93=TRUE,'Results Raw'!$BL$93=TRUE),"EV FLOOR",IF(OR(O96="",O96&gt;=4),"DENOMINATOR-SENSITIVE","NORMAL")))</x:f>
        <x:v>NORMAL</x:v>
      </x:c>
      <x:c r="T96" s="29" t="str">
        <x:f>IF(OR(R96="PROXY / UNVERIFIED",R96="MISSING COVERAGE",S96&lt;&gt;"NORMAL"),"EXCLUDE",IF(R96="LIMITED COVERAGE","CAUTION","RANKABLE"))</x:f>
        <x:v>RANKABLE</x:v>
      </x:c>
      <x:c r="U96" s="43" t="str">
        <x:f>IF(T96="EXCLUDE","Illustrative only - do not assign an ordinary rank",IF(T96="CAUTION","Use with facility-coverage caveat","Decision-useable within the stated scenario only"))</x:f>
        <x:v>Decision-useable within the stated scenario only</x:v>
      </x:c>
    </x:row>
    <x:row r="97">
      <x:c r="A97" s="29" t="str">
        <x:f>'Results Raw'!$A$94</x:f>
        <x:v>NEE</x:v>
      </x:c>
      <x:c r="B97" s="29" t="str">
        <x:f>'Results Raw'!$B$94</x:f>
        <x:v>Utilities</x:v>
      </x:c>
      <x:c r="C97" s="29" t="str">
        <x:f>'Results Raw'!$E$94</x:f>
        <x:v>CP vs delayed</x:v>
      </x:c>
      <x:c r="D97" s="29" t="str">
        <x:f>'Results Raw'!$I$94</x:f>
        <x:v>high</x:v>
      </x:c>
      <x:c r="E97" s="31" t="n">
        <x:f>'Results Raw'!$M$94/100</x:f>
        <x:v>1.1220296212117669</x:v>
      </x:c>
      <x:c r="F97" s="33" t="n">
        <x:f>('Results Raw'!$O$94-'Results Raw'!$N$94)/1000000000</x:f>
        <x:v>105.27799502603044</x:v>
      </x:c>
      <x:c r="G97" s="31" t="n">
        <x:f>IF(ABS('Results Raw'!$O$94)+ABS('Results Raw'!$N$94)=0,"",2*('Results Raw'!$O$94-'Results Raw'!$N$94)/(ABS('Results Raw'!$O$94)+ABS('Results Raw'!$N$94)))</x:f>
        <x:v>0.7187821752801107</x:v>
      </x:c>
      <x:c r="H97" s="31" t="n">
        <x:f>'Results Raw'!$Z$94/100</x:f>
        <x:v>1.0405005764427493</x:v>
      </x:c>
      <x:c r="I97" s="31" t="n">
        <x:f>'Results Raw'!$AA$94/100</x:f>
        <x:v>-0.0025328300822421383</x:v>
      </x:c>
      <x:c r="J97" s="31" t="n">
        <x:f>'Results Raw'!$AB$94/100</x:f>
        <x:v>0.08406187485125943</x:v>
      </x:c>
      <x:c r="K97" s="35" t="n">
        <x:f>ABS(E97-SUM(H97:J97))</x:f>
        <x:v>2.220446049250313e-16</x:v>
      </x:c>
      <x:c r="L97" s="37" t="n">
        <x:f>('Results Raw'!$W$94+'Results Raw'!$X$94+'Results Raw'!$Y$94)/1000000000</x:f>
        <x:v>-20.34923962002942</x:v>
      </x:c>
      <x:c r="M97" s="37" t="n">
        <x:f>'Results Raw'!$R$94/1000000000</x:f>
        <x:v>15.170679225627037</x:v>
      </x:c>
      <x:c r="N97" s="37" t="n">
        <x:f>ABS('Results Raw'!$R$94+'Results Raw'!$W$94+'Results Raw'!$X$94+'Results Raw'!$Y$94)/1000000000</x:f>
        <x:v>5.178560394402384</x:v>
      </x:c>
      <x:c r="O97" s="39" t="n">
        <x:f>IF(MIN(ABS('Results Raw'!$O$94),ABS('Results Raw'!$N$94))=0,"",MAX(ABS('Results Raw'!$O$94)/ABS('Results Raw'!$N$94),ABS('Results Raw'!$N$94)/ABS('Results Raw'!$O$94)))</x:f>
        <x:v>2.122029621211767</x:v>
      </x:c>
      <x:c r="P97" s="41" t="n">
        <x:f>IF('Results Raw'!$AO$94="","",'Results Raw'!$AO$94/100)</x:f>
        <x:v>0.8518518518518519</x:v>
      </x:c>
      <x:c r="Q97" s="29" t="str">
        <x:f>'Results Raw'!$AP$94</x:f>
        <x:v>High</x:v>
      </x:c>
      <x:c r="R97" s="29" t="str">
        <x:f>IF(Q97="Unverified","PROXY / UNVERIFIED",IF(P97="","MISSING COVERAGE",IF(P97&lt;75%,"LIMITED COVERAGE","VERIFIED")))</x:f>
        <x:v>VERIFIED</x:v>
      </x:c>
      <x:c r="S97" s="29" t="str">
        <x:f>IF(N97&gt;0.000001,"TERMINAL FCFF FLOOR",IF(OR('Results Raw'!$BK$94=TRUE,'Results Raw'!$BL$94=TRUE),"EV FLOOR",IF(OR(O97="",O97&gt;=4),"DENOMINATOR-SENSITIVE","NORMAL")))</x:f>
        <x:v>TERMINAL FCFF FLOOR</x:v>
      </x:c>
      <x:c r="T97" s="29" t="str">
        <x:f>IF(OR(R97="PROXY / UNVERIFIED",R97="MISSING COVERAGE",S97&lt;&gt;"NORMAL"),"EXCLUDE",IF(R97="LIMITED COVERAGE","CAUTION","RANKABLE"))</x:f>
        <x:v>EXCLUDE</x:v>
      </x:c>
      <x:c r="U97" s="43" t="str">
        <x:f>IF(T97="EXCLUDE","Illustrative only - do not assign an ordinary rank",IF(T97="CAUTION","Use with facility-coverage caveat","Decision-useable within the stated scenario only"))</x:f>
        <x:v>Illustrative only - do not assign an ordinary rank</x:v>
      </x:c>
    </x:row>
    <x:row r="98">
      <x:c r="A98" s="29" t="str">
        <x:f>'Results Raw'!$A$95</x:f>
        <x:v>XOM</x:v>
      </x:c>
      <x:c r="B98" s="29" t="str">
        <x:f>'Results Raw'!$B$95</x:f>
        <x:v>Energy</x:v>
      </x:c>
      <x:c r="C98" s="29" t="str">
        <x:f>'Results Raw'!$E$95</x:f>
        <x:v>CP vs delayed</x:v>
      </x:c>
      <x:c r="D98" s="29" t="str">
        <x:f>'Results Raw'!$I$95</x:f>
        <x:v>low</x:v>
      </x:c>
      <x:c r="E98" s="31" t="n">
        <x:f>'Results Raw'!$M$95/100</x:f>
        <x:v>0.07664626721599133</x:v>
      </x:c>
      <x:c r="F98" s="33" t="n">
        <x:f>('Results Raw'!$O$95-'Results Raw'!$N$95)/1000000000</x:f>
        <x:v>47.85037828777759</x:v>
      </x:c>
      <x:c r="G98" s="31" t="n">
        <x:f>IF(ABS('Results Raw'!$O$95)+ABS('Results Raw'!$N$95)=0,"",2*('Results Raw'!$O$95-'Results Raw'!$N$95)/(ABS('Results Raw'!$O$95)+ABS('Results Raw'!$N$95)))</x:f>
        <x:v>0.0738173548629883</x:v>
      </x:c>
      <x:c r="H98" s="31" t="n">
        <x:f>'Results Raw'!$Z$95/100</x:f>
        <x:v>0.06468828781862625</x:v>
      </x:c>
      <x:c r="I98" s="31" t="n">
        <x:f>'Results Raw'!$AA$95/100</x:f>
        <x:v>-0.00015623496003947646</x:v>
      </x:c>
      <x:c r="J98" s="31" t="n">
        <x:f>'Results Raw'!$AB$95/100</x:f>
        <x:v>0.012114214357404644</x:v>
      </x:c>
      <x:c r="K98" s="35" t="n">
        <x:f>ABS(E98-SUM(H98:J98))</x:f>
        <x:v>9.71445146547012e-17</x:v>
      </x:c>
      <x:c r="L98" s="37" t="n">
        <x:f>('Results Raw'!$W$95+'Results Raw'!$X$95+'Results Raw'!$Y$95)/1000000000</x:f>
        <x:v>-4.196489047020918</x:v>
      </x:c>
      <x:c r="M98" s="37" t="n">
        <x:f>'Results Raw'!$R$95/1000000000</x:f>
        <x:v>4.196489047020916</x:v>
      </x:c>
      <x:c r="N98" s="37" t="n">
        <x:f>ABS('Results Raw'!$R$95+'Results Raw'!$W$95+'Results Raw'!$X$95+'Results Raw'!$Y$95)/1000000000</x:f>
        <x:v>2.980232238769531e-15</x:v>
      </x:c>
      <x:c r="O98" s="39" t="n">
        <x:f>IF(MIN(ABS('Results Raw'!$O$95),ABS('Results Raw'!$N$95))=0,"",MAX(ABS('Results Raw'!$O$95)/ABS('Results Raw'!$N$95),ABS('Results Raw'!$N$95)/ABS('Results Raw'!$O$95)))</x:f>
        <x:v>1.0766462672159913</x:v>
      </x:c>
      <x:c r="P98" s="41" t="n">
        <x:f>IF('Results Raw'!$AO$95="","",'Results Raw'!$AO$95/100)</x:f>
        <x:v>0.7205882352941176</x:v>
      </x:c>
      <x:c r="Q98" s="29" t="str">
        <x:f>'Results Raw'!$AP$95</x:f>
        <x:v>Medium</x:v>
      </x:c>
      <x:c r="R98" s="29" t="str">
        <x:f>IF(Q98="Unverified","PROXY / UNVERIFIED",IF(P98="","MISSING COVERAGE",IF(P98&lt;75%,"LIMITED COVERAGE","VERIFIED")))</x:f>
        <x:v>LIMITED COVERAGE</x:v>
      </x:c>
      <x:c r="S98" s="29" t="str">
        <x:f>IF(N98&gt;0.000001,"TERMINAL FCFF FLOOR",IF(OR('Results Raw'!$BK$95=TRUE,'Results Raw'!$BL$95=TRUE),"EV FLOOR",IF(OR(O98="",O98&gt;=4),"DENOMINATOR-SENSITIVE","NORMAL")))</x:f>
        <x:v>NORMAL</x:v>
      </x:c>
      <x:c r="T98" s="29" t="str">
        <x:f>IF(OR(R98="PROXY / UNVERIFIED",R98="MISSING COVERAGE",S98&lt;&gt;"NORMAL"),"EXCLUDE",IF(R98="LIMITED COVERAGE","CAUTION","RANKABLE"))</x:f>
        <x:v>CAUTION</x:v>
      </x:c>
      <x:c r="U98" s="43" t="str">
        <x:f>IF(T98="EXCLUDE","Illustrative only - do not assign an ordinary rank",IF(T98="CAUTION","Use with facility-coverage caveat","Decision-useable within the stated scenario only"))</x:f>
        <x:v>Use with facility-coverage caveat</x:v>
      </x:c>
    </x:row>
    <x:row r="99">
      <x:c r="A99" s="29" t="str">
        <x:f>'Results Raw'!$A$96</x:f>
        <x:v>XOM</x:v>
      </x:c>
      <x:c r="B99" s="29" t="str">
        <x:f>'Results Raw'!$B$96</x:f>
        <x:v>Energy</x:v>
      </x:c>
      <x:c r="C99" s="29" t="str">
        <x:f>'Results Raw'!$E$96</x:f>
        <x:v>CP vs delayed</x:v>
      </x:c>
      <x:c r="D99" s="29" t="str">
        <x:f>'Results Raw'!$I$96</x:f>
        <x:v>base</x:v>
      </x:c>
      <x:c r="E99" s="31" t="n">
        <x:f>'Results Raw'!$M$96/100</x:f>
        <x:v>0.36478228137527213</x:v>
      </x:c>
      <x:c r="F99" s="33" t="n">
        <x:f>('Results Raw'!$O$96-'Results Raw'!$N$96)/1000000000</x:f>
        <x:v>178.39461333012355</x:v>
      </x:c>
      <x:c r="G99" s="31" t="n">
        <x:f>IF(ABS('Results Raw'!$O$96)+ABS('Results Raw'!$N$96)=0,"",2*('Results Raw'!$O$96-'Results Raw'!$N$96)/(ABS('Results Raw'!$O$96)+ABS('Results Raw'!$N$96)))</x:f>
        <x:v>0.308512360100337</x:v>
      </x:c>
      <x:c r="H99" s="31" t="n">
        <x:f>'Results Raw'!$Z$96/100</x:f>
        <x:v>0.33883533179597775</x:v>
      </x:c>
      <x:c r="I99" s="31" t="n">
        <x:f>'Results Raw'!$AA$96/100</x:f>
        <x:v>-0.0005639720100980442</x:v>
      </x:c>
      <x:c r="J99" s="31" t="n">
        <x:f>'Results Raw'!$AB$96/100</x:f>
        <x:v>0.02651092158939245</x:v>
      </x:c>
      <x:c r="K99" s="35" t="n">
        <x:f>ABS(E99-SUM(H99:J99))</x:f>
        <x:v>0</x:v>
      </x:c>
      <x:c r="L99" s="37" t="n">
        <x:f>('Results Raw'!$W$96+'Results Raw'!$X$96+'Results Raw'!$Y$96)/1000000000</x:f>
        <x:v>-16.462658342698713</x:v>
      </x:c>
      <x:c r="M99" s="37" t="n">
        <x:f>'Results Raw'!$R$96/1000000000</x:f>
        <x:v>16.46265834269871</x:v>
      </x:c>
      <x:c r="N99" s="37" t="n">
        <x:f>ABS('Results Raw'!$R$96+'Results Raw'!$W$96+'Results Raw'!$X$96+'Results Raw'!$Y$96)/1000000000</x:f>
        <x:v>1.430511474609375e-15</x:v>
      </x:c>
      <x:c r="O99" s="39" t="n">
        <x:f>IF(MIN(ABS('Results Raw'!$O$96),ABS('Results Raw'!$N$96))=0,"",MAX(ABS('Results Raw'!$O$96)/ABS('Results Raw'!$N$96),ABS('Results Raw'!$N$96)/ABS('Results Raw'!$O$96)))</x:f>
        <x:v>1.3647822813752721</x:v>
      </x:c>
      <x:c r="P99" s="41" t="n">
        <x:f>IF('Results Raw'!$AO$96="","",'Results Raw'!$AO$96/100)</x:f>
        <x:v>0.7205882352941176</x:v>
      </x:c>
      <x:c r="Q99" s="29" t="str">
        <x:f>'Results Raw'!$AP$96</x:f>
        <x:v>Medium</x:v>
      </x:c>
      <x:c r="R99" s="29" t="str">
        <x:f>IF(Q99="Unverified","PROXY / UNVERIFIED",IF(P99="","MISSING COVERAGE",IF(P99&lt;75%,"LIMITED COVERAGE","VERIFIED")))</x:f>
        <x:v>LIMITED COVERAGE</x:v>
      </x:c>
      <x:c r="S99" s="29" t="str">
        <x:f>IF(N99&gt;0.000001,"TERMINAL FCFF FLOOR",IF(OR('Results Raw'!$BK$96=TRUE,'Results Raw'!$BL$96=TRUE),"EV FLOOR",IF(OR(O99="",O99&gt;=4),"DENOMINATOR-SENSITIVE","NORMAL")))</x:f>
        <x:v>NORMAL</x:v>
      </x:c>
      <x:c r="T99" s="29" t="str">
        <x:f>IF(OR(R99="PROXY / UNVERIFIED",R99="MISSING COVERAGE",S99&lt;&gt;"NORMAL"),"EXCLUDE",IF(R99="LIMITED COVERAGE","CAUTION","RANKABLE"))</x:f>
        <x:v>CAUTION</x:v>
      </x:c>
      <x:c r="U99" s="43" t="str">
        <x:f>IF(T99="EXCLUDE","Illustrative only - do not assign an ordinary rank",IF(T99="CAUTION","Use with facility-coverage caveat","Decision-useable within the stated scenario only"))</x:f>
        <x:v>Use with facility-coverage caveat</x:v>
      </x:c>
    </x:row>
    <x:row r="100">
      <x:c r="A100" s="29" t="str">
        <x:f>'Results Raw'!$A$97</x:f>
        <x:v>XOM</x:v>
      </x:c>
      <x:c r="B100" s="29" t="str">
        <x:f>'Results Raw'!$B$97</x:f>
        <x:v>Energy</x:v>
      </x:c>
      <x:c r="C100" s="29" t="str">
        <x:f>'Results Raw'!$E$97</x:f>
        <x:v>CP vs delayed</x:v>
      </x:c>
      <x:c r="D100" s="29" t="str">
        <x:f>'Results Raw'!$I$97</x:f>
        <x:v>high</x:v>
      </x:c>
      <x:c r="E100" s="31" t="n">
        <x:f>'Results Raw'!$M$97/100</x:f>
        <x:v>1.6349606910585772</x:v>
      </x:c>
      <x:c r="F100" s="33" t="n">
        <x:f>('Results Raw'!$O$97-'Results Raw'!$N$97)/1000000000</x:f>
        <x:v>408.50623942499635</x:v>
      </x:c>
      <x:c r="G100" s="31" t="n">
        <x:f>IF(ABS('Results Raw'!$O$97)+ABS('Results Raw'!$N$97)=0,"",2*('Results Raw'!$O$97-'Results Raw'!$N$97)/(ABS('Results Raw'!$O$97)+ABS('Results Raw'!$N$97)))</x:f>
        <x:v>0.899575445247768</x:v>
      </x:c>
      <x:c r="H100" s="31" t="n">
        <x:f>'Results Raw'!$Z$97/100</x:f>
        <x:v>1.580290354162752</x:v>
      </x:c>
      <x:c r="I100" s="31" t="n">
        <x:f>'Results Raw'!$AA$97/100</x:f>
        <x:v>-0.0014595657179565025</x:v>
      </x:c>
      <x:c r="J100" s="31" t="n">
        <x:f>'Results Raw'!$AB$97/100</x:f>
        <x:v>0.0561299026137814</x:v>
      </x:c>
      <x:c r="K100" s="35" t="n">
        <x:f>ABS(E100-SUM(H100:J100))</x:f>
        <x:v>4.440892098500626e-16</x:v>
      </x:c>
      <x:c r="L100" s="37" t="n">
        <x:f>('Results Raw'!$W$97+'Results Raw'!$X$97+'Results Raw'!$Y$97)/1000000000</x:f>
        <x:v>-50.99109708330076</x:v>
      </x:c>
      <x:c r="M100" s="37" t="n">
        <x:f>'Results Raw'!$R$97/1000000000</x:f>
        <x:v>36.17933798960489</x:v>
      </x:c>
      <x:c r="N100" s="37" t="n">
        <x:f>ABS('Results Raw'!$R$97+'Results Raw'!$W$97+'Results Raw'!$X$97+'Results Raw'!$Y$97)/1000000000</x:f>
        <x:v>14.811759093695871</x:v>
      </x:c>
      <x:c r="O100" s="39" t="n">
        <x:f>IF(MIN(ABS('Results Raw'!$O$97),ABS('Results Raw'!$N$97))=0,"",MAX(ABS('Results Raw'!$O$97)/ABS('Results Raw'!$N$97),ABS('Results Raw'!$N$97)/ABS('Results Raw'!$O$97)))</x:f>
        <x:v>2.634960691058577</x:v>
      </x:c>
      <x:c r="P100" s="41" t="n">
        <x:f>IF('Results Raw'!$AO$97="","",'Results Raw'!$AO$97/100)</x:f>
        <x:v>0.7205882352941176</x:v>
      </x:c>
      <x:c r="Q100" s="29" t="str">
        <x:f>'Results Raw'!$AP$97</x:f>
        <x:v>Medium</x:v>
      </x:c>
      <x:c r="R100" s="29" t="str">
        <x:f>IF(Q100="Unverified","PROXY / UNVERIFIED",IF(P100="","MISSING COVERAGE",IF(P100&lt;75%,"LIMITED COVERAGE","VERIFIED")))</x:f>
        <x:v>LIMITED COVERAGE</x:v>
      </x:c>
      <x:c r="S100" s="29" t="str">
        <x:f>IF(N100&gt;0.000001,"TERMINAL FCFF FLOOR",IF(OR('Results Raw'!$BK$97=TRUE,'Results Raw'!$BL$97=TRUE),"EV FLOOR",IF(OR(O100="",O100&gt;=4),"DENOMINATOR-SENSITIVE","NORMAL")))</x:f>
        <x:v>TERMINAL FCFF FLOOR</x:v>
      </x:c>
      <x:c r="T100" s="29" t="str">
        <x:f>IF(OR(R100="PROXY / UNVERIFIED",R100="MISSING COVERAGE",S100&lt;&gt;"NORMAL"),"EXCLUDE",IF(R100="LIMITED COVERAGE","CAUTION","RANKABLE"))</x:f>
        <x:v>EXCLUDE</x:v>
      </x:c>
      <x:c r="U100" s="43" t="str">
        <x:f>IF(T100="EXCLUDE","Illustrative only - do not assign an ordinary rank",IF(T100="CAUTION","Use with facility-coverage caveat","Decision-useable within the stated scenario only"))</x:f>
        <x:v>Illustrative only - do not assign an ordinary rank</x:v>
      </x:c>
    </x:row>
    <x:row r="101">
      <x:c r="A101" s="29" t="str">
        <x:f>'Results Raw'!$A$98</x:f>
        <x:v>AAPL</x:v>
      </x:c>
      <x:c r="B101" s="29" t="str">
        <x:f>'Results Raw'!$B$98</x:f>
        <x:v>Technology</x:v>
      </x:c>
      <x:c r="C101" s="29" t="str">
        <x:f>'Results Raw'!$E$98</x:f>
        <x:v>Fragmented vs baseline</x:v>
      </x:c>
      <x:c r="D101" s="29" t="str">
        <x:f>'Results Raw'!$I$98</x:f>
        <x:v>low</x:v>
      </x:c>
      <x:c r="E101" s="31" t="n">
        <x:f>'Results Raw'!$M$98/100</x:f>
        <x:v>-0.009265118117452231</x:v>
      </x:c>
      <x:c r="F101" s="33" t="n">
        <x:f>('Results Raw'!$O$98-'Results Raw'!$N$98)/1000000000</x:f>
        <x:v>-14.007303991947998</x:v>
      </x:c>
      <x:c r="G101" s="31" t="n">
        <x:f>IF(ABS('Results Raw'!$O$98)+ABS('Results Raw'!$N$98)=0,"",2*('Results Raw'!$O$98-'Results Raw'!$N$98)/(ABS('Results Raw'!$O$98)+ABS('Results Raw'!$N$98)))</x:f>
        <x:v>-0.009308239084745014</x:v>
      </x:c>
      <x:c r="H101" s="31" t="n">
        <x:f>'Results Raw'!$Z$98/100</x:f>
        <x:v>-0.000008884174182232663</x:v>
      </x:c>
      <x:c r="I101" s="31" t="n">
        <x:f>'Results Raw'!$AA$98/100</x:f>
        <x:v>-0.0005391889579564316</x:v>
      </x:c>
      <x:c r="J101" s="31" t="n">
        <x:f>'Results Raw'!$AB$98/100</x:f>
        <x:v>-0.008717044985313524</x:v>
      </x:c>
      <x:c r="K101" s="35" t="n">
        <x:f>ABS(E101-SUM(H101:J101))</x:f>
        <x:v>4.336808689942018e-17</x:v>
      </x:c>
      <x:c r="L101" s="37" t="n">
        <x:f>('Results Raw'!$W$98+'Results Raw'!$X$98+'Results Raw'!$Y$98)/1000000000</x:f>
        <x:v>3.3869325318960852</x:v>
      </x:c>
      <x:c r="M101" s="37" t="n">
        <x:f>'Results Raw'!$R$98/1000000000</x:f>
        <x:v>-3.3869325318960875</x:v>
      </x:c>
      <x:c r="N101" s="37" t="n">
        <x:f>ABS('Results Raw'!$R$98+'Results Raw'!$W$98+'Results Raw'!$X$98+'Results Raw'!$Y$98)/1000000000</x:f>
        <x:v>2.384185791015625e-15</x:v>
      </x:c>
      <x:c r="O101" s="39" t="n">
        <x:f>IF(MIN(ABS('Results Raw'!$O$98),ABS('Results Raw'!$N$98))=0,"",MAX(ABS('Results Raw'!$O$98)/ABS('Results Raw'!$N$98),ABS('Results Raw'!$N$98)/ABS('Results Raw'!$O$98)))</x:f>
        <x:v>1.0093517633091176</x:v>
      </x:c>
      <x:c r="P101" s="41" t="str">
        <x:f>IF('Results Raw'!$AO$98="","",'Results Raw'!$AO$98/100)</x:f>
      </x:c>
      <x:c r="Q101" s="29" t="str">
        <x:f>'Results Raw'!$AP$98</x:f>
        <x:v>Unverified</x:v>
      </x:c>
      <x:c r="R101" s="29" t="str">
        <x:f>IF(Q101="Unverified","PROXY / UNVERIFIED",IF(P101="","MISSING COVERAGE",IF(P101&lt;75%,"LIMITED COVERAGE","VERIFIED")))</x:f>
        <x:v>PROXY / UNVERIFIED</x:v>
      </x:c>
      <x:c r="S101" s="29" t="str">
        <x:f>IF(N101&gt;0.000001,"TERMINAL FCFF FLOOR",IF(OR('Results Raw'!$BK$98=TRUE,'Results Raw'!$BL$98=TRUE),"EV FLOOR",IF(OR(O101="",O101&gt;=4),"DENOMINATOR-SENSITIVE","NORMAL")))</x:f>
        <x:v>NORMAL</x:v>
      </x:c>
      <x:c r="T101" s="29" t="str">
        <x:f>IF(OR(R101="PROXY / UNVERIFIED",R101="MISSING COVERAGE",S101&lt;&gt;"NORMAL"),"EXCLUDE",IF(R101="LIMITED COVERAGE","CAUTION","RANKABLE"))</x:f>
        <x:v>EXCLUDE</x:v>
      </x:c>
      <x:c r="U101" s="43" t="str">
        <x:f>IF(T101="EXCLUDE","Illustrative only - do not assign an ordinary rank",IF(T101="CAUTION","Use with facility-coverage caveat","Decision-useable within the stated scenario only"))</x:f>
        <x:v>Illustrative only - do not assign an ordinary rank</x:v>
      </x:c>
    </x:row>
    <x:row r="102">
      <x:c r="A102" s="29" t="str">
        <x:f>'Results Raw'!$A$99</x:f>
        <x:v>AAPL</x:v>
      </x:c>
      <x:c r="B102" s="29" t="str">
        <x:f>'Results Raw'!$B$99</x:f>
        <x:v>Technology</x:v>
      </x:c>
      <x:c r="C102" s="29" t="str">
        <x:f>'Results Raw'!$E$99</x:f>
        <x:v>Fragmented vs baseline</x:v>
      </x:c>
      <x:c r="D102" s="29" t="str">
        <x:f>'Results Raw'!$I$99</x:f>
        <x:v>base</x:v>
      </x:c>
      <x:c r="E102" s="31" t="n">
        <x:f>'Results Raw'!$M$99/100</x:f>
        <x:v>-0.016778831295729324</x:v>
      </x:c>
      <x:c r="F102" s="33" t="n">
        <x:f>('Results Raw'!$O$99-'Results Raw'!$N$99)/1000000000</x:f>
        <x:v>-25.366777585510253</x:v>
      </x:c>
      <x:c r="G102" s="31" t="n">
        <x:f>IF(ABS('Results Raw'!$O$99)+ABS('Results Raw'!$N$99)=0,"",2*('Results Raw'!$O$99-'Results Raw'!$N$99)/(ABS('Results Raw'!$O$99)+ABS('Results Raw'!$N$99)))</x:f>
        <x:v>-0.016920786809361953</x:v>
      </x:c>
      <x:c r="H102" s="31" t="n">
        <x:f>'Results Raw'!$Z$99/100</x:f>
        <x:v>-0.00004134704399257017</x:v>
      </x:c>
      <x:c r="I102" s="31" t="n">
        <x:f>'Results Raw'!$AA$99/100</x:f>
        <x:v>-0.0017939785626276085</x:v>
      </x:c>
      <x:c r="J102" s="31" t="n">
        <x:f>'Results Raw'!$AB$99/100</x:f>
        <x:v>-0.014943505689109132</x:v>
      </x:c>
      <x:c r="K102" s="35" t="n">
        <x:f>ABS(E102-SUM(H102:J102))</x:f>
        <x:v>1.3877787807814457e-17</x:v>
      </x:c>
      <x:c r="L102" s="37" t="n">
        <x:f>('Results Raw'!$W$99+'Results Raw'!$X$99+'Results Raw'!$Y$99)/1000000000</x:f>
        <x:v>5.989204520296464</x:v>
      </x:c>
      <x:c r="M102" s="37" t="n">
        <x:f>'Results Raw'!$R$99/1000000000</x:f>
        <x:v>-5.989204520296478</x:v>
      </x:c>
      <x:c r="N102" s="37" t="n">
        <x:f>ABS('Results Raw'!$R$99+'Results Raw'!$W$99+'Results Raw'!$X$99+'Results Raw'!$Y$99)/1000000000</x:f>
        <x:v>1.430511474609375e-14</x:v>
      </x:c>
      <x:c r="O102" s="39" t="n">
        <x:f>IF(MIN(ABS('Results Raw'!$O$99),ABS('Results Raw'!$N$99))=0,"",MAX(ABS('Results Raw'!$O$99)/ABS('Results Raw'!$N$99),ABS('Results Raw'!$N$99)/ABS('Results Raw'!$O$99)))</x:f>
        <x:v>1.0170651648172315</x:v>
      </x:c>
      <x:c r="P102" s="41" t="str">
        <x:f>IF('Results Raw'!$AO$99="","",'Results Raw'!$AO$99/100)</x:f>
      </x:c>
      <x:c r="Q102" s="29" t="str">
        <x:f>'Results Raw'!$AP$99</x:f>
        <x:v>Unverified</x:v>
      </x:c>
      <x:c r="R102" s="29" t="str">
        <x:f>IF(Q102="Unverified","PROXY / UNVERIFIED",IF(P102="","MISSING COVERAGE",IF(P102&lt;75%,"LIMITED COVERAGE","VERIFIED")))</x:f>
        <x:v>PROXY / UNVERIFIED</x:v>
      </x:c>
      <x:c r="S102" s="29" t="str">
        <x:f>IF(N102&gt;0.000001,"TERMINAL FCFF FLOOR",IF(OR('Results Raw'!$BK$99=TRUE,'Results Raw'!$BL$99=TRUE),"EV FLOOR",IF(OR(O102="",O102&gt;=4),"DENOMINATOR-SENSITIVE","NORMAL")))</x:f>
        <x:v>NORMAL</x:v>
      </x:c>
      <x:c r="T102" s="29" t="str">
        <x:f>IF(OR(R102="PROXY / UNVERIFIED",R102="MISSING COVERAGE",S102&lt;&gt;"NORMAL"),"EXCLUDE",IF(R102="LIMITED COVERAGE","CAUTION","RANKABLE"))</x:f>
        <x:v>EXCLUDE</x:v>
      </x:c>
      <x:c r="U102" s="43" t="str">
        <x:f>IF(T102="EXCLUDE","Illustrative only - do not assign an ordinary rank",IF(T102="CAUTION","Use with facility-coverage caveat","Decision-useable within the stated scenario only"))</x:f>
        <x:v>Illustrative only - do not assign an ordinary rank</x:v>
      </x:c>
    </x:row>
    <x:row r="103">
      <x:c r="A103" s="29" t="str">
        <x:f>'Results Raw'!$A$100</x:f>
        <x:v>AAPL</x:v>
      </x:c>
      <x:c r="B103" s="29" t="str">
        <x:f>'Results Raw'!$B$100</x:f>
        <x:v>Technology</x:v>
      </x:c>
      <x:c r="C103" s="29" t="str">
        <x:f>'Results Raw'!$E$100</x:f>
        <x:v>Fragmented vs baseline</x:v>
      </x:c>
      <x:c r="D103" s="29" t="str">
        <x:f>'Results Raw'!$I$100</x:f>
        <x:v>high</x:v>
      </x:c>
      <x:c r="E103" s="31" t="n">
        <x:f>'Results Raw'!$M$100/100</x:f>
        <x:v>-0.030787512546761375</x:v>
      </x:c>
      <x:c r="F103" s="33" t="n">
        <x:f>('Results Raw'!$O$100-'Results Raw'!$N$100)/1000000000</x:f>
        <x:v>-46.545553109147946</x:v>
      </x:c>
      <x:c r="G103" s="31" t="n">
        <x:f>IF(ABS('Results Raw'!$O$100)+ABS('Results Raw'!$N$100)=0,"",2*('Results Raw'!$O$100-'Results Raw'!$N$100)/(ABS('Results Raw'!$O$100)+ABS('Results Raw'!$N$100)))</x:f>
        <x:v>-0.03126885772147275</x:v>
      </x:c>
      <x:c r="H103" s="31" t="n">
        <x:f>'Results Raw'!$Z$100/100</x:f>
        <x:v>-0.00016267099467375163</x:v>
      </x:c>
      <x:c r="I103" s="31" t="n">
        <x:f>'Results Raw'!$AA$100/100</x:f>
        <x:v>-0.005718998736906038</x:v>
      </x:c>
      <x:c r="J103" s="31" t="n">
        <x:f>'Results Raw'!$AB$100/100</x:f>
        <x:v>-0.024905842815181583</x:v>
      </x:c>
      <x:c r="K103" s="35" t="n">
        <x:f>ABS(E103-SUM(H103:J103))</x:f>
        <x:v>3.469446951953614e-18</x:v>
      </x:c>
      <x:c r="L103" s="37" t="n">
        <x:f>('Results Raw'!$W$100+'Results Raw'!$X$100+'Results Raw'!$Y$100)/1000000000</x:f>
        <x:v>10.563280007571217</x:v>
      </x:c>
      <x:c r="M103" s="37" t="n">
        <x:f>'Results Raw'!$R$100/1000000000</x:f>
        <x:v>-10.563280007571228</x:v>
      </x:c>
      <x:c r="N103" s="37" t="n">
        <x:f>ABS('Results Raw'!$R$100+'Results Raw'!$W$100+'Results Raw'!$X$100+'Results Raw'!$Y$100)/1000000000</x:f>
        <x:v>1.1444091796875e-14</x:v>
      </x:c>
      <x:c r="O103" s="39" t="n">
        <x:f>IF(MIN(ABS('Results Raw'!$O$100),ABS('Results Raw'!$N$100))=0,"",MAX(ABS('Results Raw'!$O$100)/ABS('Results Raw'!$N$100),ABS('Results Raw'!$N$100)/ABS('Results Raw'!$O$100)))</x:f>
        <x:v>1.0317654930629923</x:v>
      </x:c>
      <x:c r="P103" s="41" t="str">
        <x:f>IF('Results Raw'!$AO$100="","",'Results Raw'!$AO$100/100)</x:f>
      </x:c>
      <x:c r="Q103" s="29" t="str">
        <x:f>'Results Raw'!$AP$100</x:f>
        <x:v>Unverified</x:v>
      </x:c>
      <x:c r="R103" s="29" t="str">
        <x:f>IF(Q103="Unverified","PROXY / UNVERIFIED",IF(P103="","MISSING COVERAGE",IF(P103&lt;75%,"LIMITED COVERAGE","VERIFIED")))</x:f>
        <x:v>PROXY / UNVERIFIED</x:v>
      </x:c>
      <x:c r="S103" s="29" t="str">
        <x:f>IF(N103&gt;0.000001,"TERMINAL FCFF FLOOR",IF(OR('Results Raw'!$BK$100=TRUE,'Results Raw'!$BL$100=TRUE),"EV FLOOR",IF(OR(O103="",O103&gt;=4),"DENOMINATOR-SENSITIVE","NORMAL")))</x:f>
        <x:v>NORMAL</x:v>
      </x:c>
      <x:c r="T103" s="29" t="str">
        <x:f>IF(OR(R103="PROXY / UNVERIFIED",R103="MISSING COVERAGE",S103&lt;&gt;"NORMAL"),"EXCLUDE",IF(R103="LIMITED COVERAGE","CAUTION","RANKABLE"))</x:f>
        <x:v>EXCLUDE</x:v>
      </x:c>
      <x:c r="U103" s="43" t="str">
        <x:f>IF(T103="EXCLUDE","Illustrative only - do not assign an ordinary rank",IF(T103="CAUTION","Use with facility-coverage caveat","Decision-useable within the stated scenario only"))</x:f>
        <x:v>Illustrative only - do not assign an ordinary rank</x:v>
      </x:c>
    </x:row>
    <x:row r="104">
      <x:c r="A104" s="29" t="str">
        <x:f>'Results Raw'!$A$101</x:f>
        <x:v>CAT</x:v>
      </x:c>
      <x:c r="B104" s="29" t="str">
        <x:f>'Results Raw'!$B$101</x:f>
        <x:v>Industrials</x:v>
      </x:c>
      <x:c r="C104" s="29" t="str">
        <x:f>'Results Raw'!$E$101</x:f>
        <x:v>Fragmented vs baseline</x:v>
      </x:c>
      <x:c r="D104" s="29" t="str">
        <x:f>'Results Raw'!$I$101</x:f>
        <x:v>low</x:v>
      </x:c>
      <x:c r="E104" s="31" t="n">
        <x:f>'Results Raw'!$M$101/100</x:f>
        <x:v>-0.011016301957305408</x:v>
      </x:c>
      <x:c r="F104" s="33" t="n">
        <x:f>('Results Raw'!$O$101-'Results Raw'!$N$101)/1000000000</x:f>
        <x:v>-1.3400385923955993</x:v>
      </x:c>
      <x:c r="G104" s="31" t="n">
        <x:f>IF(ABS('Results Raw'!$O$101)+ABS('Results Raw'!$N$101)=0,"",2*('Results Raw'!$O$101-'Results Raw'!$N$101)/(ABS('Results Raw'!$O$101)+ABS('Results Raw'!$N$101)))</x:f>
        <x:v>-0.011077317494503618</x:v>
      </x:c>
      <x:c r="H104" s="31" t="n">
        <x:f>'Results Raw'!$Z$101/100</x:f>
        <x:v>-0.0014153782368173484</x:v>
      </x:c>
      <x:c r="I104" s="31" t="n">
        <x:f>'Results Raw'!$AA$101/100</x:f>
        <x:v>-0.0005577237867794382</x:v>
      </x:c>
      <x:c r="J104" s="31" t="n">
        <x:f>'Results Raw'!$AB$101/100</x:f>
        <x:v>-0.009043199933708635</x:v>
      </x:c>
      <x:c r="K104" s="35" t="n">
        <x:f>ABS(E104-SUM(H104:J104))</x:f>
        <x:v>1.3877787807814457e-17</x:v>
      </x:c>
      <x:c r="L104" s="37" t="n">
        <x:f>('Results Raw'!$W$101+'Results Raw'!$X$101+'Results Raw'!$Y$101)/1000000000</x:f>
        <x:v>0.43373940429765845</x:v>
      </x:c>
      <x:c r="M104" s="37" t="n">
        <x:f>'Results Raw'!$R$101/1000000000</x:f>
        <x:v>-0.433739404297657</x:v>
      </x:c>
      <x:c r="N104" s="37" t="n">
        <x:f>ABS('Results Raw'!$R$101+'Results Raw'!$W$101+'Results Raw'!$X$101+'Results Raw'!$Y$101)/1000000000</x:f>
        <x:v>1.430511474609375e-15</x:v>
      </x:c>
      <x:c r="O104" s="39" t="n">
        <x:f>IF(MIN(ABS('Results Raw'!$O$101),ABS('Results Raw'!$N$101))=0,"",MAX(ABS('Results Raw'!$O$101)/ABS('Results Raw'!$N$101),ABS('Results Raw'!$N$101)/ABS('Results Raw'!$O$101)))</x:f>
        <x:v>1.0111390126845445</x:v>
      </x:c>
      <x:c r="P104" s="41" t="n">
        <x:f>IF('Results Raw'!$AO$101="","",'Results Raw'!$AO$101/100)</x:f>
        <x:v>1</x:v>
      </x:c>
      <x:c r="Q104" s="29" t="str">
        <x:f>'Results Raw'!$AP$101</x:f>
        <x:v>High</x:v>
      </x:c>
      <x:c r="R104" s="29" t="str">
        <x:f>IF(Q104="Unverified","PROXY / UNVERIFIED",IF(P104="","MISSING COVERAGE",IF(P104&lt;75%,"LIMITED COVERAGE","VERIFIED")))</x:f>
        <x:v>VERIFIED</x:v>
      </x:c>
      <x:c r="S104" s="29" t="str">
        <x:f>IF(N104&gt;0.000001,"TERMINAL FCFF FLOOR",IF(OR('Results Raw'!$BK$101=TRUE,'Results Raw'!$BL$101=TRUE),"EV FLOOR",IF(OR(O104="",O104&gt;=4),"DENOMINATOR-SENSITIVE","NORMAL")))</x:f>
        <x:v>NORMAL</x:v>
      </x:c>
      <x:c r="T104" s="29" t="str">
        <x:f>IF(OR(R104="PROXY / UNVERIFIED",R104="MISSING COVERAGE",S104&lt;&gt;"NORMAL"),"EXCLUDE",IF(R104="LIMITED COVERAGE","CAUTION","RANKABLE"))</x:f>
        <x:v>RANKABLE</x:v>
      </x:c>
      <x:c r="U104" s="43" t="str">
        <x:f>IF(T104="EXCLUDE","Illustrative only - do not assign an ordinary rank",IF(T104="CAUTION","Use with facility-coverage caveat","Decision-useable within the stated scenario only"))</x:f>
        <x:v>Decision-useable within the stated scenario only</x:v>
      </x:c>
    </x:row>
    <x:row r="105">
      <x:c r="A105" s="29" t="str">
        <x:f>'Results Raw'!$A$102</x:f>
        <x:v>CAT</x:v>
      </x:c>
      <x:c r="B105" s="29" t="str">
        <x:f>'Results Raw'!$B$102</x:f>
        <x:v>Industrials</x:v>
      </x:c>
      <x:c r="C105" s="29" t="str">
        <x:f>'Results Raw'!$E$102</x:f>
        <x:v>Fragmented vs baseline</x:v>
      </x:c>
      <x:c r="D105" s="29" t="str">
        <x:f>'Results Raw'!$I$102</x:f>
        <x:v>base</x:v>
      </x:c>
      <x:c r="E105" s="31" t="n">
        <x:f>'Results Raw'!$M$102/100</x:f>
        <x:v>-0.023943903310461367</x:v>
      </x:c>
      <x:c r="F105" s="33" t="n">
        <x:f>('Results Raw'!$O$102-'Results Raw'!$N$102)/1000000000</x:f>
        <x:v>-2.9125703537319487</x:v>
      </x:c>
      <x:c r="G105" s="31" t="n">
        <x:f>IF(ABS('Results Raw'!$O$102)+ABS('Results Raw'!$N$102)=0,"",2*('Results Raw'!$O$102-'Results Raw'!$N$102)/(ABS('Results Raw'!$O$102)+ABS('Results Raw'!$N$102)))</x:f>
        <x:v>-0.02423403196961291</x:v>
      </x:c>
      <x:c r="H105" s="31" t="n">
        <x:f>'Results Raw'!$Z$102/100</x:f>
        <x:v>-0.0065978761191403355</x:v>
      </x:c>
      <x:c r="I105" s="31" t="n">
        <x:f>'Results Raw'!$AA$102/100</x:f>
        <x:v>-0.0018433987335349242</x:v>
      </x:c>
      <x:c r="J105" s="31" t="n">
        <x:f>'Results Raw'!$AB$102/100</x:f>
        <x:v>-0.01550262845778613</x:v>
      </x:c>
      <x:c r="K105" s="35" t="n">
        <x:f>ABS(E105-SUM(H105:J105))</x:f>
        <x:v>2.0816681711721685e-17</x:v>
      </x:c>
      <x:c r="L105" s="37" t="n">
        <x:f>('Results Raw'!$W$102+'Results Raw'!$X$102+'Results Raw'!$Y$102)/1000000000</x:f>
        <x:v>0.9241922088043385</x:v>
      </x:c>
      <x:c r="M105" s="37" t="n">
        <x:f>'Results Raw'!$R$102/1000000000</x:f>
        <x:v>-0.9241922088043365</x:v>
      </x:c>
      <x:c r="N105" s="37" t="n">
        <x:f>ABS('Results Raw'!$R$102+'Results Raw'!$W$102+'Results Raw'!$X$102+'Results Raw'!$Y$102)/1000000000</x:f>
        <x:v>1.9073486328125e-15</x:v>
      </x:c>
      <x:c r="O105" s="39" t="n">
        <x:f>IF(MIN(ABS('Results Raw'!$O$102),ABS('Results Raw'!$N$102))=0,"",MAX(ABS('Results Raw'!$O$102)/ABS('Results Raw'!$N$102),ABS('Results Raw'!$N$102)/ABS('Results Raw'!$O$102)))</x:f>
        <x:v>1.024531277855516</x:v>
      </x:c>
      <x:c r="P105" s="41" t="n">
        <x:f>IF('Results Raw'!$AO$102="","",'Results Raw'!$AO$102/100)</x:f>
        <x:v>1</x:v>
      </x:c>
      <x:c r="Q105" s="29" t="str">
        <x:f>'Results Raw'!$AP$102</x:f>
        <x:v>High</x:v>
      </x:c>
      <x:c r="R105" s="29" t="str">
        <x:f>IF(Q105="Unverified","PROXY / UNVERIFIED",IF(P105="","MISSING COVERAGE",IF(P105&lt;75%,"LIMITED COVERAGE","VERIFIED")))</x:f>
        <x:v>VERIFIED</x:v>
      </x:c>
      <x:c r="S105" s="29" t="str">
        <x:f>IF(N105&gt;0.000001,"TERMINAL FCFF FLOOR",IF(OR('Results Raw'!$BK$102=TRUE,'Results Raw'!$BL$102=TRUE),"EV FLOOR",IF(OR(O105="",O105&gt;=4),"DENOMINATOR-SENSITIVE","NORMAL")))</x:f>
        <x:v>NORMAL</x:v>
      </x:c>
      <x:c r="T105" s="29" t="str">
        <x:f>IF(OR(R105="PROXY / UNVERIFIED",R105="MISSING COVERAGE",S105&lt;&gt;"NORMAL"),"EXCLUDE",IF(R105="LIMITED COVERAGE","CAUTION","RANKABLE"))</x:f>
        <x:v>RANKABLE</x:v>
      </x:c>
      <x:c r="U105" s="43" t="str">
        <x:f>IF(T105="EXCLUDE","Illustrative only - do not assign an ordinary rank",IF(T105="CAUTION","Use with facility-coverage caveat","Decision-useable within the stated scenario only"))</x:f>
        <x:v>Decision-useable within the stated scenario only</x:v>
      </x:c>
    </x:row>
    <x:row r="106">
      <x:c r="A106" s="29" t="str">
        <x:f>'Results Raw'!$A$103</x:f>
        <x:v>CAT</x:v>
      </x:c>
      <x:c r="B106" s="29" t="str">
        <x:f>'Results Raw'!$B$103</x:f>
        <x:v>Industrials</x:v>
      </x:c>
      <x:c r="C106" s="29" t="str">
        <x:f>'Results Raw'!$E$103</x:f>
        <x:v>Fragmented vs baseline</x:v>
      </x:c>
      <x:c r="D106" s="29" t="str">
        <x:f>'Results Raw'!$I$103</x:f>
        <x:v>high</x:v>
      </x:c>
      <x:c r="E106" s="31" t="n">
        <x:f>'Results Raw'!$M$103/100</x:f>
        <x:v>-0.05734385623443005</x:v>
      </x:c>
      <x:c r="F106" s="33" t="n">
        <x:f>('Results Raw'!$O$103-'Results Raw'!$N$103)/1000000000</x:f>
        <x:v>-6.975387992153137</x:v>
      </x:c>
      <x:c r="G106" s="31" t="n">
        <x:f>IF(ABS('Results Raw'!$O$103)+ABS('Results Raw'!$N$103)=0,"",2*('Results Raw'!$O$103-'Results Raw'!$N$103)/(ABS('Results Raw'!$O$103)+ABS('Results Raw'!$N$103)))</x:f>
        <x:v>-0.05903654789187446</x:v>
      </x:c>
      <x:c r="H106" s="31" t="n">
        <x:f>'Results Raw'!$Z$103/100</x:f>
        <x:v>-0.025709973830843433</x:v>
      </x:c>
      <x:c r="I106" s="31" t="n">
        <x:f>'Results Raw'!$AA$103/100</x:f>
        <x:v>-0.005796168307276009</x:v>
      </x:c>
      <x:c r="J106" s="31" t="n">
        <x:f>'Results Raw'!$AB$103/100</x:f>
        <x:v>-0.02583771409631067</x:v>
      </x:c>
      <x:c r="K106" s="35" t="n">
        <x:f>ABS(E106-SUM(H106:J106))</x:f>
        <x:v>6.245004513516506e-17</x:v>
      </x:c>
      <x:c r="L106" s="37" t="n">
        <x:f>('Results Raw'!$W$103+'Results Raw'!$X$103+'Results Raw'!$Y$103)/1000000000</x:f>
        <x:v>2.2708535226809796</x:v>
      </x:c>
      <x:c r="M106" s="37" t="n">
        <x:f>'Results Raw'!$R$103/1000000000</x:f>
        <x:v>-2.2708535226809805</x:v>
      </x:c>
      <x:c r="N106" s="37" t="n">
        <x:f>ABS('Results Raw'!$R$103+'Results Raw'!$W$103+'Results Raw'!$X$103+'Results Raw'!$Y$103)/1000000000</x:f>
        <x:v>9.5367431640625e-16</x:v>
      </x:c>
      <x:c r="O106" s="39" t="n">
        <x:f>IF(MIN(ABS('Results Raw'!$O$103),ABS('Results Raw'!$N$103))=0,"",MAX(ABS('Results Raw'!$O$103)/ABS('Results Raw'!$N$103),ABS('Results Raw'!$N$103)/ABS('Results Raw'!$O$103)))</x:f>
        <x:v>1.0608322097232212</x:v>
      </x:c>
      <x:c r="P106" s="41" t="n">
        <x:f>IF('Results Raw'!$AO$103="","",'Results Raw'!$AO$103/100)</x:f>
        <x:v>1</x:v>
      </x:c>
      <x:c r="Q106" s="29" t="str">
        <x:f>'Results Raw'!$AP$103</x:f>
        <x:v>High</x:v>
      </x:c>
      <x:c r="R106" s="29" t="str">
        <x:f>IF(Q106="Unverified","PROXY / UNVERIFIED",IF(P106="","MISSING COVERAGE",IF(P106&lt;75%,"LIMITED COVERAGE","VERIFIED")))</x:f>
        <x:v>VERIFIED</x:v>
      </x:c>
      <x:c r="S106" s="29" t="str">
        <x:f>IF(N106&gt;0.000001,"TERMINAL FCFF FLOOR",IF(OR('Results Raw'!$BK$103=TRUE,'Results Raw'!$BL$103=TRUE),"EV FLOOR",IF(OR(O106="",O106&gt;=4),"DENOMINATOR-SENSITIVE","NORMAL")))</x:f>
        <x:v>NORMAL</x:v>
      </x:c>
      <x:c r="T106" s="29" t="str">
        <x:f>IF(OR(R106="PROXY / UNVERIFIED",R106="MISSING COVERAGE",S106&lt;&gt;"NORMAL"),"EXCLUDE",IF(R106="LIMITED COVERAGE","CAUTION","RANKABLE"))</x:f>
        <x:v>RANKABLE</x:v>
      </x:c>
      <x:c r="U106" s="43" t="str">
        <x:f>IF(T106="EXCLUDE","Illustrative only - do not assign an ordinary rank",IF(T106="CAUTION","Use with facility-coverage caveat","Decision-useable within the stated scenario only"))</x:f>
        <x:v>Decision-useable within the stated scenario only</x:v>
      </x:c>
    </x:row>
    <x:row r="107">
      <x:c r="A107" s="29" t="str">
        <x:f>'Results Raw'!$A$104</x:f>
        <x:v>CVX</x:v>
      </x:c>
      <x:c r="B107" s="29" t="str">
        <x:f>'Results Raw'!$B$104</x:f>
        <x:v>Energy</x:v>
      </x:c>
      <x:c r="C107" s="29" t="str">
        <x:f>'Results Raw'!$E$104</x:f>
        <x:v>Fragmented vs baseline</x:v>
      </x:c>
      <x:c r="D107" s="29" t="str">
        <x:f>'Results Raw'!$I$104</x:f>
        <x:v>low</x:v>
      </x:c>
      <x:c r="E107" s="31" t="n">
        <x:f>'Results Raw'!$M$104/100</x:f>
        <x:v>-0.02917418730154142</x:v>
      </x:c>
      <x:c r="F107" s="33" t="n">
        <x:f>('Results Raw'!$O$104-'Results Raw'!$N$104)/1000000000</x:f>
        <x:v>-10.988517449756165</x:v>
      </x:c>
      <x:c r="G107" s="31" t="n">
        <x:f>IF(ABS('Results Raw'!$O$104)+ABS('Results Raw'!$N$104)=0,"",2*('Results Raw'!$O$104-'Results Raw'!$N$104)/(ABS('Results Raw'!$O$104)+ABS('Results Raw'!$N$104)))</x:f>
        <x:v>-0.02960605357770916</x:v>
      </x:c>
      <x:c r="H107" s="31" t="n">
        <x:f>'Results Raw'!$Z$104/100</x:f>
        <x:v>-0.010079999534227967</x:v>
      </x:c>
      <x:c r="I107" s="31" t="n">
        <x:f>'Results Raw'!$AA$104/100</x:f>
        <x:v>-0.0020529006397226636</x:v>
      </x:c>
      <x:c r="J107" s="31" t="n">
        <x:f>'Results Raw'!$AB$104/100</x:f>
        <x:v>-0.017041287127590746</x:v>
      </x:c>
      <x:c r="K107" s="35" t="n">
        <x:f>ABS(E107-SUM(H107:J107))</x:f>
        <x:v>4.5102810375396984e-17</x:v>
      </x:c>
      <x:c r="L107" s="37" t="n">
        <x:f>('Results Raw'!$W$104+'Results Raw'!$X$104+'Results Raw'!$Y$104)/1000000000</x:f>
        <x:v>1.2647382290050888</x:v>
      </x:c>
      <x:c r="M107" s="37" t="n">
        <x:f>'Results Raw'!$R$104/1000000000</x:f>
        <x:v>-1.2647382290050888</x:v>
      </x:c>
      <x:c r="N107" s="37" t="n">
        <x:f>ABS('Results Raw'!$R$104+'Results Raw'!$W$104+'Results Raw'!$X$104+'Results Raw'!$Y$104)/1000000000</x:f>
        <x:v>1.1920928955078126e-16</x:v>
      </x:c>
      <x:c r="O107" s="39" t="n">
        <x:f>IF(MIN(ABS('Results Raw'!$O$104),ABS('Results Raw'!$N$104))=0,"",MAX(ABS('Results Raw'!$O$104)/ABS('Results Raw'!$N$104),ABS('Results Raw'!$N$104)/ABS('Results Raw'!$O$104)))</x:f>
        <x:v>1.0300508978232152</x:v>
      </x:c>
      <x:c r="P107" s="41" t="n">
        <x:f>IF('Results Raw'!$AO$104="","",'Results Raw'!$AO$104/100)</x:f>
        <x:v>0.6415094339622641</x:v>
      </x:c>
      <x:c r="Q107" s="29" t="str">
        <x:f>'Results Raw'!$AP$104</x:f>
        <x:v>Medium</x:v>
      </x:c>
      <x:c r="R107" s="29" t="str">
        <x:f>IF(Q107="Unverified","PROXY / UNVERIFIED",IF(P107="","MISSING COVERAGE",IF(P107&lt;75%,"LIMITED COVERAGE","VERIFIED")))</x:f>
        <x:v>LIMITED COVERAGE</x:v>
      </x:c>
      <x:c r="S107" s="29" t="str">
        <x:f>IF(N107&gt;0.000001,"TERMINAL FCFF FLOOR",IF(OR('Results Raw'!$BK$104=TRUE,'Results Raw'!$BL$104=TRUE),"EV FLOOR",IF(OR(O107="",O107&gt;=4),"DENOMINATOR-SENSITIVE","NORMAL")))</x:f>
        <x:v>NORMAL</x:v>
      </x:c>
      <x:c r="T107" s="29" t="str">
        <x:f>IF(OR(R107="PROXY / UNVERIFIED",R107="MISSING COVERAGE",S107&lt;&gt;"NORMAL"),"EXCLUDE",IF(R107="LIMITED COVERAGE","CAUTION","RANKABLE"))</x:f>
        <x:v>CAUTION</x:v>
      </x:c>
      <x:c r="U107" s="43" t="str">
        <x:f>IF(T107="EXCLUDE","Illustrative only - do not assign an ordinary rank",IF(T107="CAUTION","Use with facility-coverage caveat","Decision-useable within the stated scenario only"))</x:f>
        <x:v>Use with facility-coverage caveat</x:v>
      </x:c>
    </x:row>
    <x:row r="108">
      <x:c r="A108" s="29" t="str">
        <x:f>'Results Raw'!$A$105</x:f>
        <x:v>CVX</x:v>
      </x:c>
      <x:c r="B108" s="29" t="str">
        <x:f>'Results Raw'!$B$105</x:f>
        <x:v>Energy</x:v>
      </x:c>
      <x:c r="C108" s="29" t="str">
        <x:f>'Results Raw'!$E$105</x:f>
        <x:v>Fragmented vs baseline</x:v>
      </x:c>
      <x:c r="D108" s="29" t="str">
        <x:f>'Results Raw'!$I$105</x:f>
        <x:v>base</x:v>
      </x:c>
      <x:c r="E108" s="31" t="n">
        <x:f>'Results Raw'!$M$105/100</x:f>
        <x:v>-0.07411920785956472</x:v>
      </x:c>
      <x:c r="F108" s="33" t="n">
        <x:f>('Results Raw'!$O$105-'Results Raw'!$N$105)/1000000000</x:f>
        <x:v>-27.917151573367065</x:v>
      </x:c>
      <x:c r="G108" s="31" t="n">
        <x:f>IF(ABS('Results Raw'!$O$105)+ABS('Results Raw'!$N$105)=0,"",2*('Results Raw'!$O$105-'Results Raw'!$N$105)/(ABS('Results Raw'!$O$105)+ABS('Results Raw'!$N$105)))</x:f>
        <x:v>-0.07697175044483227</x:v>
      </x:c>
      <x:c r="H108" s="31" t="n">
        <x:f>'Results Raw'!$Z$105/100</x:f>
        <x:v>-0.03890412561292698</x:v>
      </x:c>
      <x:c r="I108" s="31" t="n">
        <x:f>'Results Raw'!$AA$105/100</x:f>
        <x:v>-0.006001447170767721</x:v>
      </x:c>
      <x:c r="J108" s="31" t="n">
        <x:f>'Results Raw'!$AB$105/100</x:f>
        <x:v>-0.029213635075870038</x:v>
      </x:c>
      <x:c r="K108" s="35" t="n">
        <x:f>ABS(E108-SUM(H108:J108))</x:f>
        <x:v>1.3877787807814457e-17</x:v>
      </x:c>
      <x:c r="L108" s="37" t="n">
        <x:f>('Results Raw'!$W$105+'Results Raw'!$X$105+'Results Raw'!$Y$105)/1000000000</x:f>
        <x:v>3.255563286106016</x:v>
      </x:c>
      <x:c r="M108" s="37" t="n">
        <x:f>'Results Raw'!$R$105/1000000000</x:f>
        <x:v>-3.255563286106018</x:v>
      </x:c>
      <x:c r="N108" s="37" t="n">
        <x:f>ABS('Results Raw'!$R$105+'Results Raw'!$W$105+'Results Raw'!$X$105+'Results Raw'!$Y$105)/1000000000</x:f>
        <x:v>2.1457672119140624e-15</x:v>
      </x:c>
      <x:c r="O108" s="39" t="n">
        <x:f>IF(MIN(ABS('Results Raw'!$O$105),ABS('Results Raw'!$N$105))=0,"",MAX(ABS('Results Raw'!$O$105)/ABS('Results Raw'!$N$105),ABS('Results Raw'!$N$105)/ABS('Results Raw'!$O$105)))</x:f>
        <x:v>1.0800526466136287</x:v>
      </x:c>
      <x:c r="P108" s="41" t="n">
        <x:f>IF('Results Raw'!$AO$105="","",'Results Raw'!$AO$105/100)</x:f>
        <x:v>0.6415094339622641</x:v>
      </x:c>
      <x:c r="Q108" s="29" t="str">
        <x:f>'Results Raw'!$AP$105</x:f>
        <x:v>Medium</x:v>
      </x:c>
      <x:c r="R108" s="29" t="str">
        <x:f>IF(Q108="Unverified","PROXY / UNVERIFIED",IF(P108="","MISSING COVERAGE",IF(P108&lt;75%,"LIMITED COVERAGE","VERIFIED")))</x:f>
        <x:v>LIMITED COVERAGE</x:v>
      </x:c>
      <x:c r="S108" s="29" t="str">
        <x:f>IF(N108&gt;0.000001,"TERMINAL FCFF FLOOR",IF(OR('Results Raw'!$BK$105=TRUE,'Results Raw'!$BL$105=TRUE),"EV FLOOR",IF(OR(O108="",O108&gt;=4),"DENOMINATOR-SENSITIVE","NORMAL")))</x:f>
        <x:v>NORMAL</x:v>
      </x:c>
      <x:c r="T108" s="29" t="str">
        <x:f>IF(OR(R108="PROXY / UNVERIFIED",R108="MISSING COVERAGE",S108&lt;&gt;"NORMAL"),"EXCLUDE",IF(R108="LIMITED COVERAGE","CAUTION","RANKABLE"))</x:f>
        <x:v>CAUTION</x:v>
      </x:c>
      <x:c r="U108" s="43" t="str">
        <x:f>IF(T108="EXCLUDE","Illustrative only - do not assign an ordinary rank",IF(T108="CAUTION","Use with facility-coverage caveat","Decision-useable within the stated scenario only"))</x:f>
        <x:v>Use with facility-coverage caveat</x:v>
      </x:c>
    </x:row>
    <x:row r="109">
      <x:c r="A109" s="29" t="str">
        <x:f>'Results Raw'!$A$106</x:f>
        <x:v>CVX</x:v>
      </x:c>
      <x:c r="B109" s="29" t="str">
        <x:f>'Results Raw'!$B$106</x:f>
        <x:v>Energy</x:v>
      </x:c>
      <x:c r="C109" s="29" t="str">
        <x:f>'Results Raw'!$E$106</x:f>
        <x:v>Fragmented vs baseline</x:v>
      </x:c>
      <x:c r="D109" s="29" t="str">
        <x:f>'Results Raw'!$I$106</x:f>
        <x:v>high</x:v>
      </x:c>
      <x:c r="E109" s="31" t="n">
        <x:f>'Results Raw'!$M$106/100</x:f>
        <x:v>-0.17600833623076573</x:v>
      </x:c>
      <x:c r="F109" s="33" t="n">
        <x:f>('Results Raw'!$O$106-'Results Raw'!$N$106)/1000000000</x:f>
        <x:v>-66.29390063153998</x:v>
      </x:c>
      <x:c r="G109" s="31" t="n">
        <x:f>IF(ABS('Results Raw'!$O$106)+ABS('Results Raw'!$N$106)=0,"",2*('Results Raw'!$O$106-'Results Raw'!$N$106)/(ABS('Results Raw'!$O$106)+ABS('Results Raw'!$N$106)))</x:f>
        <x:v>-0.19299247877816372</x:v>
      </x:c>
      <x:c r="H109" s="31" t="n">
        <x:f>'Results Raw'!$Z$106/100</x:f>
        <x:v>-0.11362649848994169</x:v>
      </x:c>
      <x:c r="I109" s="31" t="n">
        <x:f>'Results Raw'!$AA$106/100</x:f>
        <x:v>-0.013692445947707514</x:v>
      </x:c>
      <x:c r="J109" s="31" t="n">
        <x:f>'Results Raw'!$AB$106/100</x:f>
        <x:v>-0.04868939179311654</x:v>
      </x:c>
      <x:c r="K109" s="35" t="n">
        <x:f>ABS(E109-SUM(H109:J109))</x:f>
        <x:v>2.7755575615628914e-17</x:v>
      </x:c>
      <x:c r="L109" s="37" t="n">
        <x:f>('Results Raw'!$W$106+'Results Raw'!$X$106+'Results Raw'!$Y$106)/1000000000</x:f>
        <x:v>8.088145185832827</x:v>
      </x:c>
      <x:c r="M109" s="37" t="n">
        <x:f>'Results Raw'!$R$106/1000000000</x:f>
        <x:v>-8.088145185832825</x:v>
      </x:c>
      <x:c r="N109" s="37" t="n">
        <x:f>ABS('Results Raw'!$R$106+'Results Raw'!$W$106+'Results Raw'!$X$106+'Results Raw'!$Y$106)/1000000000</x:f>
        <x:v>2.384185791015625e-15</x:v>
      </x:c>
      <x:c r="O109" s="39" t="n">
        <x:f>IF(MIN(ABS('Results Raw'!$O$106),ABS('Results Raw'!$N$106))=0,"",MAX(ABS('Results Raw'!$O$106)/ABS('Results Raw'!$N$106),ABS('Results Raw'!$N$106)/ABS('Results Raw'!$O$106)))</x:f>
        <x:v>1.21360451078551</x:v>
      </x:c>
      <x:c r="P109" s="41" t="n">
        <x:f>IF('Results Raw'!$AO$106="","",'Results Raw'!$AO$106/100)</x:f>
        <x:v>0.6415094339622641</x:v>
      </x:c>
      <x:c r="Q109" s="29" t="str">
        <x:f>'Results Raw'!$AP$106</x:f>
        <x:v>Medium</x:v>
      </x:c>
      <x:c r="R109" s="29" t="str">
        <x:f>IF(Q109="Unverified","PROXY / UNVERIFIED",IF(P109="","MISSING COVERAGE",IF(P109&lt;75%,"LIMITED COVERAGE","VERIFIED")))</x:f>
        <x:v>LIMITED COVERAGE</x:v>
      </x:c>
      <x:c r="S109" s="29" t="str">
        <x:f>IF(N109&gt;0.000001,"TERMINAL FCFF FLOOR",IF(OR('Results Raw'!$BK$106=TRUE,'Results Raw'!$BL$106=TRUE),"EV FLOOR",IF(OR(O109="",O109&gt;=4),"DENOMINATOR-SENSITIVE","NORMAL")))</x:f>
        <x:v>NORMAL</x:v>
      </x:c>
      <x:c r="T109" s="29" t="str">
        <x:f>IF(OR(R109="PROXY / UNVERIFIED",R109="MISSING COVERAGE",S109&lt;&gt;"NORMAL"),"EXCLUDE",IF(R109="LIMITED COVERAGE","CAUTION","RANKABLE"))</x:f>
        <x:v>CAUTION</x:v>
      </x:c>
      <x:c r="U109" s="43" t="str">
        <x:f>IF(T109="EXCLUDE","Illustrative only - do not assign an ordinary rank",IF(T109="CAUTION","Use with facility-coverage caveat","Decision-useable within the stated scenario only"))</x:f>
        <x:v>Use with facility-coverage caveat</x:v>
      </x:c>
    </x:row>
    <x:row r="110">
      <x:c r="A110" s="29" t="str">
        <x:f>'Results Raw'!$A$107</x:f>
        <x:v>DE</x:v>
      </x:c>
      <x:c r="B110" s="29" t="str">
        <x:f>'Results Raw'!$B$107</x:f>
        <x:v>Industrials</x:v>
      </x:c>
      <x:c r="C110" s="29" t="str">
        <x:f>'Results Raw'!$E$107</x:f>
        <x:v>Fragmented vs baseline</x:v>
      </x:c>
      <x:c r="D110" s="29" t="str">
        <x:f>'Results Raw'!$I$107</x:f>
        <x:v>low</x:v>
      </x:c>
      <x:c r="E110" s="31" t="n">
        <x:f>'Results Raw'!$M$107/100</x:f>
        <x:v>-0.011696352050675207</x:v>
      </x:c>
      <x:c r="F110" s="33" t="n">
        <x:f>('Results Raw'!$O$107-'Results Raw'!$N$107)/1000000000</x:f>
        <x:v>-1.8250436966036072</x:v>
      </x:c>
      <x:c r="G110" s="31" t="n">
        <x:f>IF(ABS('Results Raw'!$O$107)+ABS('Results Raw'!$N$107)=0,"",2*('Results Raw'!$O$107-'Results Raw'!$N$107)/(ABS('Results Raw'!$O$107)+ABS('Results Raw'!$N$107)))</x:f>
        <x:v>-0.011765156758363832</x:v>
      </x:c>
      <x:c r="H110" s="31" t="n">
        <x:f>'Results Raw'!$Z$107/100</x:f>
        <x:v>-0.0003562248531785643</x:v>
      </x:c>
      <x:c r="I110" s="31" t="n">
        <x:f>'Results Raw'!$AA$107/100</x:f>
        <x:v>-0.0005552445775735887</x:v>
      </x:c>
      <x:c r="J110" s="31" t="n">
        <x:f>'Results Raw'!$AB$107/100</x:f>
        <x:v>-0.010784882619923077</x:v>
      </x:c>
      <x:c r="K110" s="35" t="n">
        <x:f>ABS(E110-SUM(H110:J110))</x:f>
        <x:v>2.2551405187698492e-17</x:v>
      </x:c>
      <x:c r="L110" s="37" t="n">
        <x:f>('Results Raw'!$W$107+'Results Raw'!$X$107+'Results Raw'!$Y$107)/1000000000</x:f>
        <x:v>0.30006089599277996</x:v>
      </x:c>
      <x:c r="M110" s="37" t="n">
        <x:f>'Results Raw'!$R$107/1000000000</x:f>
        <x:v>-0.3000608959927807</x:v>
      </x:c>
      <x:c r="N110" s="37" t="n">
        <x:f>ABS('Results Raw'!$R$107+'Results Raw'!$W$107+'Results Raw'!$X$107+'Results Raw'!$Y$107)/1000000000</x:f>
        <x:v>7.152557373046875e-16</x:v>
      </x:c>
      <x:c r="O110" s="39" t="n">
        <x:f>IF(MIN(ABS('Results Raw'!$O$107),ABS('Results Raw'!$N$107))=0,"",MAX(ABS('Results Raw'!$O$107)/ABS('Results Raw'!$N$107),ABS('Results Raw'!$N$107)/ABS('Results Raw'!$O$107)))</x:f>
        <x:v>1.0118347757543387</x:v>
      </x:c>
      <x:c r="P110" s="41" t="n">
        <x:f>IF('Results Raw'!$AO$107="","",'Results Raw'!$AO$107/100)</x:f>
        <x:v>1</x:v>
      </x:c>
      <x:c r="Q110" s="29" t="str">
        <x:f>'Results Raw'!$AP$107</x:f>
        <x:v>High</x:v>
      </x:c>
      <x:c r="R110" s="29" t="str">
        <x:f>IF(Q110="Unverified","PROXY / UNVERIFIED",IF(P110="","MISSING COVERAGE",IF(P110&lt;75%,"LIMITED COVERAGE","VERIFIED")))</x:f>
        <x:v>VERIFIED</x:v>
      </x:c>
      <x:c r="S110" s="29" t="str">
        <x:f>IF(N110&gt;0.000001,"TERMINAL FCFF FLOOR",IF(OR('Results Raw'!$BK$107=TRUE,'Results Raw'!$BL$107=TRUE),"EV FLOOR",IF(OR(O110="",O110&gt;=4),"DENOMINATOR-SENSITIVE","NORMAL")))</x:f>
        <x:v>NORMAL</x:v>
      </x:c>
      <x:c r="T110" s="29" t="str">
        <x:f>IF(OR(R110="PROXY / UNVERIFIED",R110="MISSING COVERAGE",S110&lt;&gt;"NORMAL"),"EXCLUDE",IF(R110="LIMITED COVERAGE","CAUTION","RANKABLE"))</x:f>
        <x:v>RANKABLE</x:v>
      </x:c>
      <x:c r="U110" s="43" t="str">
        <x:f>IF(T110="EXCLUDE","Illustrative only - do not assign an ordinary rank",IF(T110="CAUTION","Use with facility-coverage caveat","Decision-useable within the stated scenario only"))</x:f>
        <x:v>Decision-useable within the stated scenario only</x:v>
      </x:c>
    </x:row>
    <x:row r="111">
      <x:c r="A111" s="29" t="str">
        <x:f>'Results Raw'!$A$108</x:f>
        <x:v>DE</x:v>
      </x:c>
      <x:c r="B111" s="29" t="str">
        <x:f>'Results Raw'!$B$108</x:f>
        <x:v>Industrials</x:v>
      </x:c>
      <x:c r="C111" s="29" t="str">
        <x:f>'Results Raw'!$E$108</x:f>
        <x:v>Fragmented vs baseline</x:v>
      </x:c>
      <x:c r="D111" s="29" t="str">
        <x:f>'Results Raw'!$I$108</x:f>
        <x:v>base</x:v>
      </x:c>
      <x:c r="E111" s="31" t="n">
        <x:f>'Results Raw'!$M$108/100</x:f>
        <x:v>-0.021989032800085906</x:v>
      </x:c>
      <x:c r="F111" s="33" t="n">
        <x:f>('Results Raw'!$O$108-'Results Raw'!$N$108)/1000000000</x:f>
        <x:v>-3.4310651331574706</x:v>
      </x:c>
      <x:c r="G111" s="31" t="n">
        <x:f>IF(ABS('Results Raw'!$O$108)+ABS('Results Raw'!$N$108)=0,"",2*('Results Raw'!$O$108-'Results Raw'!$N$108)/(ABS('Results Raw'!$O$108)+ABS('Results Raw'!$N$108)))</x:f>
        <x:v>-0.022233479151244226</x:v>
      </x:c>
      <x:c r="H111" s="31" t="n">
        <x:f>'Results Raw'!$Z$108/100</x:f>
        <x:v>-0.0016604341275383084</x:v>
      </x:c>
      <x:c r="I111" s="31" t="n">
        <x:f>'Results Raw'!$AA$108/100</x:f>
        <x:v>-0.0018402284669647839</x:v>
      </x:c>
      <x:c r="J111" s="31" t="n">
        <x:f>'Results Raw'!$AB$108/100</x:f>
        <x:v>-0.018488370205582767</x:v>
      </x:c>
      <x:c r="K111" s="35" t="n">
        <x:f>ABS(E111-SUM(H111:J111))</x:f>
        <x:v>4.85722573273506e-17</x:v>
      </x:c>
      <x:c r="L111" s="37" t="n">
        <x:f>('Results Raw'!$W$108+'Results Raw'!$X$108+'Results Raw'!$Y$108)/1000000000</x:f>
        <x:v>0.5540905896787893</x:v>
      </x:c>
      <x:c r="M111" s="37" t="n">
        <x:f>'Results Raw'!$R$108/1000000000</x:f>
        <x:v>-0.5540905896787891</x:v>
      </x:c>
      <x:c r="N111" s="37" t="n">
        <x:f>ABS('Results Raw'!$R$108+'Results Raw'!$W$108+'Results Raw'!$X$108+'Results Raw'!$Y$108)/1000000000</x:f>
        <x:v>1.7881393432617187e-16</x:v>
      </x:c>
      <x:c r="O111" s="39" t="n">
        <x:f>IF(MIN(ABS('Results Raw'!$O$108),ABS('Results Raw'!$N$108))=0,"",MAX(ABS('Results Raw'!$O$108)/ABS('Results Raw'!$N$108),ABS('Results Raw'!$N$108)/ABS('Results Raw'!$O$108)))</x:f>
        <x:v>1.022483421492748</x:v>
      </x:c>
      <x:c r="P111" s="41" t="n">
        <x:f>IF('Results Raw'!$AO$108="","",'Results Raw'!$AO$108/100)</x:f>
        <x:v>1</x:v>
      </x:c>
      <x:c r="Q111" s="29" t="str">
        <x:f>'Results Raw'!$AP$108</x:f>
        <x:v>High</x:v>
      </x:c>
      <x:c r="R111" s="29" t="str">
        <x:f>IF(Q111="Unverified","PROXY / UNVERIFIED",IF(P111="","MISSING COVERAGE",IF(P111&lt;75%,"LIMITED COVERAGE","VERIFIED")))</x:f>
        <x:v>VERIFIED</x:v>
      </x:c>
      <x:c r="S111" s="29" t="str">
        <x:f>IF(N111&gt;0.000001,"TERMINAL FCFF FLOOR",IF(OR('Results Raw'!$BK$108=TRUE,'Results Raw'!$BL$108=TRUE),"EV FLOOR",IF(OR(O111="",O111&gt;=4),"DENOMINATOR-SENSITIVE","NORMAL")))</x:f>
        <x:v>NORMAL</x:v>
      </x:c>
      <x:c r="T111" s="29" t="str">
        <x:f>IF(OR(R111="PROXY / UNVERIFIED",R111="MISSING COVERAGE",S111&lt;&gt;"NORMAL"),"EXCLUDE",IF(R111="LIMITED COVERAGE","CAUTION","RANKABLE"))</x:f>
        <x:v>RANKABLE</x:v>
      </x:c>
      <x:c r="U111" s="43" t="str">
        <x:f>IF(T111="EXCLUDE","Illustrative only - do not assign an ordinary rank",IF(T111="CAUTION","Use with facility-coverage caveat","Decision-useable within the stated scenario only"))</x:f>
        <x:v>Decision-useable within the stated scenario only</x:v>
      </x:c>
    </x:row>
    <x:row r="112">
      <x:c r="A112" s="29" t="str">
        <x:f>'Results Raw'!$A$109</x:f>
        <x:v>DE</x:v>
      </x:c>
      <x:c r="B112" s="29" t="str">
        <x:f>'Results Raw'!$B$109</x:f>
        <x:v>Industrials</x:v>
      </x:c>
      <x:c r="C112" s="29" t="str">
        <x:f>'Results Raw'!$E$109</x:f>
        <x:v>Fragmented vs baseline</x:v>
      </x:c>
      <x:c r="D112" s="29" t="str">
        <x:f>'Results Raw'!$I$109</x:f>
        <x:v>high</x:v>
      </x:c>
      <x:c r="E112" s="31" t="n">
        <x:f>'Results Raw'!$M$109/100</x:f>
        <x:v>-0.042968853690988136</x:v>
      </x:c>
      <x:c r="F112" s="33" t="n">
        <x:f>('Results Raw'!$O$109-'Results Raw'!$N$109)/1000000000</x:f>
        <x:v>-6.704657592321136</x:v>
      </x:c>
      <x:c r="G112" s="31" t="n">
        <x:f>IF(ABS('Results Raw'!$O$109)+ABS('Results Raw'!$N$109)=0,"",2*('Results Raw'!$O$109-'Results Raw'!$N$109)/(ABS('Results Raw'!$O$109)+ABS('Results Raw'!$N$109)))</x:f>
        <x:v>-0.04391228394297967</x:v>
      </x:c>
      <x:c r="H112" s="31" t="n">
        <x:f>'Results Raw'!$Z$109/100</x:f>
        <x:v>-0.006335515739133604</x:v>
      </x:c>
      <x:c r="I112" s="31" t="n">
        <x:f>'Results Raw'!$AA$109/100</x:f>
        <x:v>-0.0058193876092166395</x:v>
      </x:c>
      <x:c r="J112" s="31" t="n">
        <x:f>'Results Raw'!$AB$109/100</x:f>
        <x:v>-0.03081395034263791</x:v>
      </x:c>
      <x:c r="K112" s="35" t="n">
        <x:f>ABS(E112-SUM(H112:J112))</x:f>
        <x:v>2.0816681711721685e-17</x:v>
      </x:c>
      <x:c r="L112" s="37" t="n">
        <x:f>('Results Raw'!$W$109+'Results Raw'!$X$109+'Results Raw'!$Y$109)/1000000000</x:f>
        <x:v>1.0648408682848292</x:v>
      </x:c>
      <x:c r="M112" s="37" t="n">
        <x:f>'Results Raw'!$R$109/1000000000</x:f>
        <x:v>-1.0648408682848283</x:v>
      </x:c>
      <x:c r="N112" s="37" t="n">
        <x:f>ABS('Results Raw'!$R$109+'Results Raw'!$W$109+'Results Raw'!$X$109+'Results Raw'!$Y$109)/1000000000</x:f>
        <x:v>8.344650268554687e-16</x:v>
      </x:c>
      <x:c r="O112" s="39" t="n">
        <x:f>IF(MIN(ABS('Results Raw'!$O$109),ABS('Results Raw'!$N$109))=0,"",MAX(ABS('Results Raw'!$O$109)/ABS('Results Raw'!$N$109),ABS('Results Raw'!$N$109)/ABS('Results Raw'!$O$109)))</x:f>
        <x:v>1.0448980723947245</x:v>
      </x:c>
      <x:c r="P112" s="41" t="n">
        <x:f>IF('Results Raw'!$AO$109="","",'Results Raw'!$AO$109/100)</x:f>
        <x:v>1</x:v>
      </x:c>
      <x:c r="Q112" s="29" t="str">
        <x:f>'Results Raw'!$AP$109</x:f>
        <x:v>High</x:v>
      </x:c>
      <x:c r="R112" s="29" t="str">
        <x:f>IF(Q112="Unverified","PROXY / UNVERIFIED",IF(P112="","MISSING COVERAGE",IF(P112&lt;75%,"LIMITED COVERAGE","VERIFIED")))</x:f>
        <x:v>VERIFIED</x:v>
      </x:c>
      <x:c r="S112" s="29" t="str">
        <x:f>IF(N112&gt;0.000001,"TERMINAL FCFF FLOOR",IF(OR('Results Raw'!$BK$109=TRUE,'Results Raw'!$BL$109=TRUE),"EV FLOOR",IF(OR(O112="",O112&gt;=4),"DENOMINATOR-SENSITIVE","NORMAL")))</x:f>
        <x:v>NORMAL</x:v>
      </x:c>
      <x:c r="T112" s="29" t="str">
        <x:f>IF(OR(R112="PROXY / UNVERIFIED",R112="MISSING COVERAGE",S112&lt;&gt;"NORMAL"),"EXCLUDE",IF(R112="LIMITED COVERAGE","CAUTION","RANKABLE"))</x:f>
        <x:v>RANKABLE</x:v>
      </x:c>
      <x:c r="U112" s="43" t="str">
        <x:f>IF(T112="EXCLUDE","Illustrative only - do not assign an ordinary rank",IF(T112="CAUTION","Use with facility-coverage caveat","Decision-useable within the stated scenario only"))</x:f>
        <x:v>Decision-useable within the stated scenario only</x:v>
      </x:c>
    </x:row>
    <x:row r="113">
      <x:c r="A113" s="29" t="str">
        <x:f>'Results Raw'!$A$110</x:f>
        <x:v>DUK</x:v>
      </x:c>
      <x:c r="B113" s="29" t="str">
        <x:f>'Results Raw'!$B$110</x:f>
        <x:v>Utilities</x:v>
      </x:c>
      <x:c r="C113" s="29" t="str">
        <x:f>'Results Raw'!$E$110</x:f>
        <x:v>Fragmented vs baseline</x:v>
      </x:c>
      <x:c r="D113" s="29" t="str">
        <x:f>'Results Raw'!$I$110</x:f>
        <x:v>low</x:v>
      </x:c>
      <x:c r="E113" s="31" t="n">
        <x:f>'Results Raw'!$M$110/100</x:f>
        <x:v>-0.22390451377953424</x:v>
      </x:c>
      <x:c r="F113" s="33" t="n">
        <x:f>('Results Raw'!$O$110-'Results Raw'!$N$110)/1000000000</x:f>
        <x:v>-11.224824675213501</x:v>
      </x:c>
      <x:c r="G113" s="31" t="n">
        <x:f>IF(ABS('Results Raw'!$O$110)+ABS('Results Raw'!$N$110)=0,"",2*('Results Raw'!$O$110-'Results Raw'!$N$110)/(ABS('Results Raw'!$O$110)+ABS('Results Raw'!$N$110)))</x:f>
        <x:v>-0.252131166952069</x:v>
      </x:c>
      <x:c r="H113" s="31" t="n">
        <x:f>'Results Raw'!$Z$110/100</x:f>
        <x:v>-0.18131672336411575</x:v>
      </x:c>
      <x:c r="I113" s="31" t="n">
        <x:f>'Results Raw'!$AA$110/100</x:f>
        <x:v>-0.009879576409820824</x:v>
      </x:c>
      <x:c r="J113" s="31" t="n">
        <x:f>'Results Raw'!$AB$110/100</x:f>
        <x:v>-0.03270821400559761</x:v>
      </x:c>
      <x:c r="K113" s="35" t="n">
        <x:f>ABS(E113-SUM(H113:J113))</x:f>
        <x:v>5.551115123125783e-17</x:v>
      </x:c>
      <x:c r="L113" s="37" t="n">
        <x:f>('Results Raw'!$W$110+'Results Raw'!$X$110+'Results Raw'!$Y$110)/1000000000</x:f>
        <x:v>0.6893095370637252</x:v>
      </x:c>
      <x:c r="M113" s="37" t="n">
        <x:f>'Results Raw'!$R$110/1000000000</x:f>
        <x:v>-0.6893095370637252</x:v>
      </x:c>
      <x:c r="N113" s="37" t="n">
        <x:f>ABS('Results Raw'!$R$110+'Results Raw'!$W$110+'Results Raw'!$X$110+'Results Raw'!$Y$110)/1000000000</x:f>
        <x:v>5.960464477539063e-17</x:v>
      </x:c>
      <x:c r="O113" s="39" t="n">
        <x:f>IF(MIN(ABS('Results Raw'!$O$110),ABS('Results Raw'!$N$110))=0,"",MAX(ABS('Results Raw'!$O$110)/ABS('Results Raw'!$N$110),ABS('Results Raw'!$N$110)/ABS('Results Raw'!$O$110)))</x:f>
        <x:v>1.2885012446985544</x:v>
      </x:c>
      <x:c r="P113" s="41" t="n">
        <x:f>IF('Results Raw'!$AO$110="","",'Results Raw'!$AO$110/100)</x:f>
        <x:v>0.9795918367346939</x:v>
      </x:c>
      <x:c r="Q113" s="29" t="str">
        <x:f>'Results Raw'!$AP$110</x:f>
        <x:v>High</x:v>
      </x:c>
      <x:c r="R113" s="29" t="str">
        <x:f>IF(Q113="Unverified","PROXY / UNVERIFIED",IF(P113="","MISSING COVERAGE",IF(P113&lt;75%,"LIMITED COVERAGE","VERIFIED")))</x:f>
        <x:v>VERIFIED</x:v>
      </x:c>
      <x:c r="S113" s="29" t="str">
        <x:f>IF(N113&gt;0.000001,"TERMINAL FCFF FLOOR",IF(OR('Results Raw'!$BK$110=TRUE,'Results Raw'!$BL$110=TRUE),"EV FLOOR",IF(OR(O113="",O113&gt;=4),"DENOMINATOR-SENSITIVE","NORMAL")))</x:f>
        <x:v>NORMAL</x:v>
      </x:c>
      <x:c r="T113" s="29" t="str">
        <x:f>IF(OR(R113="PROXY / UNVERIFIED",R113="MISSING COVERAGE",S113&lt;&gt;"NORMAL"),"EXCLUDE",IF(R113="LIMITED COVERAGE","CAUTION","RANKABLE"))</x:f>
        <x:v>RANKABLE</x:v>
      </x:c>
      <x:c r="U113" s="43" t="str">
        <x:f>IF(T113="EXCLUDE","Illustrative only - do not assign an ordinary rank",IF(T113="CAUTION","Use with facility-coverage caveat","Decision-useable within the stated scenario only"))</x:f>
        <x:v>Decision-useable within the stated scenario only</x:v>
      </x:c>
    </x:row>
    <x:row r="114">
      <x:c r="A114" s="29" t="str">
        <x:f>'Results Raw'!$A$111</x:f>
        <x:v>DUK</x:v>
      </x:c>
      <x:c r="B114" s="29" t="str">
        <x:f>'Results Raw'!$B$111</x:f>
        <x:v>Utilities</x:v>
      </x:c>
      <x:c r="C114" s="29" t="str">
        <x:f>'Results Raw'!$E$111</x:f>
        <x:v>Fragmented vs baseline</x:v>
      </x:c>
      <x:c r="D114" s="29" t="str">
        <x:f>'Results Raw'!$I$111</x:f>
        <x:v>base</x:v>
      </x:c>
      <x:c r="E114" s="31" t="n">
        <x:f>'Results Raw'!$M$111/100</x:f>
        <x:v>-0.7769294556291098</x:v>
      </x:c>
      <x:c r="F114" s="33" t="n">
        <x:f>('Results Raw'!$O$111-'Results Raw'!$N$111)/1000000000</x:f>
        <x:v>-38.949178724609304</x:v>
      </x:c>
      <x:c r="G114" s="31" t="n">
        <x:f>IF(ABS('Results Raw'!$O$111)+ABS('Results Raw'!$N$111)=0,"",2*('Results Raw'!$O$111-'Results Raw'!$N$111)/(ABS('Results Raw'!$O$111)+ABS('Results Raw'!$N$111)))</x:f>
        <x:v>-1.2704573079694899</x:v>
      </x:c>
      <x:c r="H114" s="31" t="n">
        <x:f>'Results Raw'!$Z$111/100</x:f>
        <x:v>-0.7017947944980674</x:v>
      </x:c>
      <x:c r="I114" s="31" t="n">
        <x:f>'Results Raw'!$AA$111/100</x:f>
        <x:v>-0.023404386366267786</x:v>
      </x:c>
      <x:c r="J114" s="31" t="n">
        <x:f>'Results Raw'!$AB$111/100</x:f>
        <x:v>-0.051730274764774625</x:v>
      </x:c>
      <x:c r="K114" s="35" t="n">
        <x:f>ABS(E114-SUM(H114:J114))</x:f>
        <x:v>0</x:v>
      </x:c>
      <x:c r="L114" s="37" t="n">
        <x:f>('Results Raw'!$W$111+'Results Raw'!$X$111+'Results Raw'!$Y$111)/1000000000</x:f>
        <x:v>2.571664561423909</x:v>
      </x:c>
      <x:c r="M114" s="37" t="n">
        <x:f>'Results Raw'!$R$111/1000000000</x:f>
        <x:v>-2.512681140106454</x:v>
      </x:c>
      <x:c r="N114" s="37" t="n">
        <x:f>ABS('Results Raw'!$R$111+'Results Raw'!$W$111+'Results Raw'!$X$111+'Results Raw'!$Y$111)/1000000000</x:f>
        <x:v>0.058983421317454515</x:v>
      </x:c>
      <x:c r="O114" s="39" t="n">
        <x:f>IF(MIN(ABS('Results Raw'!$O$111),ABS('Results Raw'!$N$111))=0,"",MAX(ABS('Results Raw'!$O$111)/ABS('Results Raw'!$N$111),ABS('Results Raw'!$N$111)/ABS('Results Raw'!$O$111)))</x:f>
        <x:v>4.4828868052491115</x:v>
      </x:c>
      <x:c r="P114" s="41" t="n">
        <x:f>IF('Results Raw'!$AO$111="","",'Results Raw'!$AO$111/100)</x:f>
        <x:v>0.9795918367346939</x:v>
      </x:c>
      <x:c r="Q114" s="29" t="str">
        <x:f>'Results Raw'!$AP$111</x:f>
        <x:v>High</x:v>
      </x:c>
      <x:c r="R114" s="29" t="str">
        <x:f>IF(Q114="Unverified","PROXY / UNVERIFIED",IF(P114="","MISSING COVERAGE",IF(P114&lt;75%,"LIMITED COVERAGE","VERIFIED")))</x:f>
        <x:v>VERIFIED</x:v>
      </x:c>
      <x:c r="S114" s="29" t="str">
        <x:f>IF(N114&gt;0.000001,"TERMINAL FCFF FLOOR",IF(OR('Results Raw'!$BK$111=TRUE,'Results Raw'!$BL$111=TRUE),"EV FLOOR",IF(OR(O114="",O114&gt;=4),"DENOMINATOR-SENSITIVE","NORMAL")))</x:f>
        <x:v>TERMINAL FCFF FLOOR</x:v>
      </x:c>
      <x:c r="T114" s="29" t="str">
        <x:f>IF(OR(R114="PROXY / UNVERIFIED",R114="MISSING COVERAGE",S114&lt;&gt;"NORMAL"),"EXCLUDE",IF(R114="LIMITED COVERAGE","CAUTION","RANKABLE"))</x:f>
        <x:v>EXCLUDE</x:v>
      </x:c>
      <x:c r="U114" s="43" t="str">
        <x:f>IF(T114="EXCLUDE","Illustrative only - do not assign an ordinary rank",IF(T114="CAUTION","Use with facility-coverage caveat","Decision-useable within the stated scenario only"))</x:f>
        <x:v>Illustrative only - do not assign an ordinary rank</x:v>
      </x:c>
    </x:row>
    <x:row r="115">
      <x:c r="A115" s="29" t="str">
        <x:f>'Results Raw'!$A$112</x:f>
        <x:v>DUK</x:v>
      </x:c>
      <x:c r="B115" s="29" t="str">
        <x:f>'Results Raw'!$B$112</x:f>
        <x:v>Utilities</x:v>
      </x:c>
      <x:c r="C115" s="29" t="str">
        <x:f>'Results Raw'!$E$112</x:f>
        <x:v>Fragmented vs baseline</x:v>
      </x:c>
      <x:c r="D115" s="29" t="str">
        <x:f>'Results Raw'!$I$112</x:f>
        <x:v>high</x:v>
      </x:c>
      <x:c r="E115" s="31" t="n">
        <x:f>'Results Raw'!$M$112/100</x:f>
        <x:v>-0.8418151791058364</x:v>
      </x:c>
      <x:c r="F115" s="33" t="n">
        <x:f>('Results Raw'!$O$112-'Results Raw'!$N$112)/1000000000</x:f>
        <x:v>-42.202042446096335</x:v>
      </x:c>
      <x:c r="G115" s="31" t="n">
        <x:f>IF(ABS('Results Raw'!$O$112)+ABS('Results Raw'!$N$112)=0,"",2*('Results Raw'!$O$112-'Results Raw'!$N$112)/(ABS('Results Raw'!$O$112)+ABS('Results Raw'!$N$112)))</x:f>
        <x:v>-1.4536802139332519</x:v>
      </x:c>
      <x:c r="H115" s="31" t="n">
        <x:f>'Results Raw'!$Z$112/100</x:f>
        <x:v>-0.762907405277306</x:v>
      </x:c>
      <x:c r="I115" s="31" t="n">
        <x:f>'Results Raw'!$AA$112/100</x:f>
        <x:v>-0.029747841423562463</x:v>
      </x:c>
      <x:c r="J115" s="31" t="n">
        <x:f>'Results Raw'!$AB$112/100</x:f>
        <x:v>-0.049159932404967834</x:v>
      </x:c>
      <x:c r="K115" s="35" t="n">
        <x:f>ABS(E115-SUM(H115:J115))</x:f>
        <x:v>0</x:v>
      </x:c>
      <x:c r="L115" s="37" t="n">
        <x:f>('Results Raw'!$W$112+'Results Raw'!$X$112+'Results Raw'!$Y$112)/1000000000</x:f>
        <x:v>7.62121394378239</x:v>
      </x:c>
      <x:c r="M115" s="37" t="n">
        <x:f>'Results Raw'!$R$112/1000000000</x:f>
        <x:v>-2.512681140106454</x:v>
      </x:c>
      <x:c r="N115" s="37" t="n">
        <x:f>ABS('Results Raw'!$R$112+'Results Raw'!$W$112+'Results Raw'!$X$112+'Results Raw'!$Y$112)/1000000000</x:f>
        <x:v>5.108532803675935</x:v>
      </x:c>
      <x:c r="O115" s="39" t="n">
        <x:f>IF(MIN(ABS('Results Raw'!$O$112),ABS('Results Raw'!$N$112))=0,"",MAX(ABS('Results Raw'!$O$112)/ABS('Results Raw'!$N$112),ABS('Results Raw'!$N$112)/ABS('Results Raw'!$O$112)))</x:f>
        <x:v>6.321719077389025</x:v>
      </x:c>
      <x:c r="P115" s="41" t="n">
        <x:f>IF('Results Raw'!$AO$112="","",'Results Raw'!$AO$112/100)</x:f>
        <x:v>0.9795918367346939</x:v>
      </x:c>
      <x:c r="Q115" s="29" t="str">
        <x:f>'Results Raw'!$AP$112</x:f>
        <x:v>High</x:v>
      </x:c>
      <x:c r="R115" s="29" t="str">
        <x:f>IF(Q115="Unverified","PROXY / UNVERIFIED",IF(P115="","MISSING COVERAGE",IF(P115&lt;75%,"LIMITED COVERAGE","VERIFIED")))</x:f>
        <x:v>VERIFIED</x:v>
      </x:c>
      <x:c r="S115" s="29" t="str">
        <x:f>IF(N115&gt;0.000001,"TERMINAL FCFF FLOOR",IF(OR('Results Raw'!$BK$112=TRUE,'Results Raw'!$BL$112=TRUE),"EV FLOOR",IF(OR(O115="",O115&gt;=4),"DENOMINATOR-SENSITIVE","NORMAL")))</x:f>
        <x:v>TERMINAL FCFF FLOOR</x:v>
      </x:c>
      <x:c r="T115" s="29" t="str">
        <x:f>IF(OR(R115="PROXY / UNVERIFIED",R115="MISSING COVERAGE",S115&lt;&gt;"NORMAL"),"EXCLUDE",IF(R115="LIMITED COVERAGE","CAUTION","RANKABLE"))</x:f>
        <x:v>EXCLUDE</x:v>
      </x:c>
      <x:c r="U115" s="43" t="str">
        <x:f>IF(T115="EXCLUDE","Illustrative only - do not assign an ordinary rank",IF(T115="CAUTION","Use with facility-coverage caveat","Decision-useable within the stated scenario only"))</x:f>
        <x:v>Illustrative only - do not assign an ordinary rank</x:v>
      </x:c>
    </x:row>
    <x:row r="116">
      <x:c r="A116" s="29" t="str">
        <x:f>'Results Raw'!$A$113</x:f>
        <x:v>MSFT</x:v>
      </x:c>
      <x:c r="B116" s="29" t="str">
        <x:f>'Results Raw'!$B$113</x:f>
        <x:v>Technology</x:v>
      </x:c>
      <x:c r="C116" s="29" t="str">
        <x:f>'Results Raw'!$E$113</x:f>
        <x:v>Fragmented vs baseline</x:v>
      </x:c>
      <x:c r="D116" s="29" t="str">
        <x:f>'Results Raw'!$I$113</x:f>
        <x:v>low</x:v>
      </x:c>
      <x:c r="E116" s="31" t="n">
        <x:f>'Results Raw'!$M$113/100</x:f>
        <x:v>-0.014248454392230214</x:v>
      </x:c>
      <x:c r="F116" s="33" t="n">
        <x:f>('Results Raw'!$O$113-'Results Raw'!$N$113)/1000000000</x:f>
        <x:v>-15.056347940036256</x:v>
      </x:c>
      <x:c r="G116" s="31" t="n">
        <x:f>IF(ABS('Results Raw'!$O$113)+ABS('Results Raw'!$N$113)=0,"",2*('Results Raw'!$O$113-'Results Raw'!$N$113)/(ABS('Results Raw'!$O$113)+ABS('Results Raw'!$N$113)))</x:f>
        <x:v>-0.014350691982333824</x:v>
      </x:c>
      <x:c r="H116" s="31" t="n">
        <x:f>'Results Raw'!$Z$113/100</x:f>
        <x:v>-0.000017575480003646345</x:v>
      </x:c>
      <x:c r="I116" s="31" t="n">
        <x:f>'Results Raw'!$AA$113/100</x:f>
        <x:v>-0.0005759805177204544</x:v>
      </x:c>
      <x:c r="J116" s="31" t="n">
        <x:f>'Results Raw'!$AB$113/100</x:f>
        <x:v>-0.01365489839450611</x:v>
      </x:c>
      <x:c r="K116" s="35" t="n">
        <x:f>ABS(E116-SUM(H116:J116))</x:f>
        <x:v>3.469446951953614e-18</x:v>
      </x:c>
      <x:c r="L116" s="37" t="n">
        <x:f>('Results Raw'!$W$113+'Results Raw'!$X$113+'Results Raw'!$Y$113)/1000000000</x:f>
        <x:v>3.8045641791230835</x:v>
      </x:c>
      <x:c r="M116" s="37" t="n">
        <x:f>'Results Raw'!$R$113/1000000000</x:f>
        <x:v>-3.8045641791230773</x:v>
      </x:c>
      <x:c r="N116" s="37" t="n">
        <x:f>ABS('Results Raw'!$R$113+'Results Raw'!$W$113+'Results Raw'!$X$113+'Results Raw'!$Y$113)/1000000000</x:f>
        <x:v>5.7220458984375e-15</x:v>
      </x:c>
      <x:c r="O116" s="39" t="n">
        <x:f>IF(MIN(ABS('Results Raw'!$O$113),ABS('Results Raw'!$N$113))=0,"",MAX(ABS('Results Raw'!$O$113)/ABS('Results Raw'!$N$113),ABS('Results Raw'!$N$113)/ABS('Results Raw'!$O$113)))</x:f>
        <x:v>1.0144544073562118</x:v>
      </x:c>
      <x:c r="P116" s="41" t="str">
        <x:f>IF('Results Raw'!$AO$113="","",'Results Raw'!$AO$113/100)</x:f>
      </x:c>
      <x:c r="Q116" s="29" t="str">
        <x:f>'Results Raw'!$AP$113</x:f>
        <x:v>Unverified</x:v>
      </x:c>
      <x:c r="R116" s="29" t="str">
        <x:f>IF(Q116="Unverified","PROXY / UNVERIFIED",IF(P116="","MISSING COVERAGE",IF(P116&lt;75%,"LIMITED COVERAGE","VERIFIED")))</x:f>
        <x:v>PROXY / UNVERIFIED</x:v>
      </x:c>
      <x:c r="S116" s="29" t="str">
        <x:f>IF(N116&gt;0.000001,"TERMINAL FCFF FLOOR",IF(OR('Results Raw'!$BK$113=TRUE,'Results Raw'!$BL$113=TRUE),"EV FLOOR",IF(OR(O116="",O116&gt;=4),"DENOMINATOR-SENSITIVE","NORMAL")))</x:f>
        <x:v>NORMAL</x:v>
      </x:c>
      <x:c r="T116" s="29" t="str">
        <x:f>IF(OR(R116="PROXY / UNVERIFIED",R116="MISSING COVERAGE",S116&lt;&gt;"NORMAL"),"EXCLUDE",IF(R116="LIMITED COVERAGE","CAUTION","RANKABLE"))</x:f>
        <x:v>EXCLUDE</x:v>
      </x:c>
      <x:c r="U116" s="43" t="str">
        <x:f>IF(T116="EXCLUDE","Illustrative only - do not assign an ordinary rank",IF(T116="CAUTION","Use with facility-coverage caveat","Decision-useable within the stated scenario only"))</x:f>
        <x:v>Illustrative only - do not assign an ordinary rank</x:v>
      </x:c>
    </x:row>
    <x:row r="117">
      <x:c r="A117" s="29" t="str">
        <x:f>'Results Raw'!$A$114</x:f>
        <x:v>MSFT</x:v>
      </x:c>
      <x:c r="B117" s="29" t="str">
        <x:f>'Results Raw'!$B$114</x:f>
        <x:v>Technology</x:v>
      </x:c>
      <x:c r="C117" s="29" t="str">
        <x:f>'Results Raw'!$E$114</x:f>
        <x:v>Fragmented vs baseline</x:v>
      </x:c>
      <x:c r="D117" s="29" t="str">
        <x:f>'Results Raw'!$I$114</x:f>
        <x:v>base</x:v>
      </x:c>
      <x:c r="E117" s="31" t="n">
        <x:f>'Results Raw'!$M$114/100</x:f>
        <x:v>-0.025388595845928452</x:v>
      </x:c>
      <x:c r="F117" s="33" t="n">
        <x:f>('Results Raw'!$O$114-'Results Raw'!$N$114)/1000000000</x:f>
        <x:v>-26.82814024893164</x:v>
      </x:c>
      <x:c r="G117" s="31" t="n">
        <x:f>IF(ABS('Results Raw'!$O$114)+ABS('Results Raw'!$N$114)=0,"",2*('Results Raw'!$O$114-'Results Raw'!$N$114)/(ABS('Results Raw'!$O$114)+ABS('Results Raw'!$N$114)))</x:f>
        <x:v>-0.025715030099104492</x:v>
      </x:c>
      <x:c r="H117" s="31" t="n">
        <x:f>'Results Raw'!$Z$114/100</x:f>
        <x:v>-0.00008420477628416679</x:v>
      </x:c>
      <x:c r="I117" s="31" t="n">
        <x:f>'Results Raw'!$AA$114/100</x:f>
        <x:v>-0.0018959938219194029</x:v>
      </x:c>
      <x:c r="J117" s="31" t="n">
        <x:f>'Results Raw'!$AB$114/100</x:f>
        <x:v>-0.023408397247724894</x:v>
      </x:c>
      <x:c r="K117" s="35" t="n">
        <x:f>ABS(E117-SUM(H117:J117))</x:f>
        <x:v>1.0408340855860843e-17</x:v>
      </x:c>
      <x:c r="L117" s="37" t="n">
        <x:f>('Results Raw'!$W$114+'Results Raw'!$X$114+'Results Raw'!$Y$114)/1000000000</x:f>
        <x:v>6.668893605741994</x:v>
      </x:c>
      <x:c r="M117" s="37" t="n">
        <x:f>'Results Raw'!$R$114/1000000000</x:f>
        <x:v>-6.668893605741989</x:v>
      </x:c>
      <x:c r="N117" s="37" t="n">
        <x:f>ABS('Results Raw'!$R$114+'Results Raw'!$W$114+'Results Raw'!$X$114+'Results Raw'!$Y$114)/1000000000</x:f>
        <x:v>4.76837158203125e-15</x:v>
      </x:c>
      <x:c r="O117" s="39" t="n">
        <x:f>IF(MIN(ABS('Results Raw'!$O$114),ABS('Results Raw'!$N$114))=0,"",MAX(ABS('Results Raw'!$O$114)/ABS('Results Raw'!$N$114),ABS('Results Raw'!$N$114)/ABS('Results Raw'!$O$114)))</x:f>
        <x:v>1.0260499679541148</x:v>
      </x:c>
      <x:c r="P117" s="41" t="str">
        <x:f>IF('Results Raw'!$AO$114="","",'Results Raw'!$AO$114/100)</x:f>
      </x:c>
      <x:c r="Q117" s="29" t="str">
        <x:f>'Results Raw'!$AP$114</x:f>
        <x:v>Unverified</x:v>
      </x:c>
      <x:c r="R117" s="29" t="str">
        <x:f>IF(Q117="Unverified","PROXY / UNVERIFIED",IF(P117="","MISSING COVERAGE",IF(P117&lt;75%,"LIMITED COVERAGE","VERIFIED")))</x:f>
        <x:v>PROXY / UNVERIFIED</x:v>
      </x:c>
      <x:c r="S117" s="29" t="str">
        <x:f>IF(N117&gt;0.000001,"TERMINAL FCFF FLOOR",IF(OR('Results Raw'!$BK$114=TRUE,'Results Raw'!$BL$114=TRUE),"EV FLOOR",IF(OR(O117="",O117&gt;=4),"DENOMINATOR-SENSITIVE","NORMAL")))</x:f>
        <x:v>NORMAL</x:v>
      </x:c>
      <x:c r="T117" s="29" t="str">
        <x:f>IF(OR(R117="PROXY / UNVERIFIED",R117="MISSING COVERAGE",S117&lt;&gt;"NORMAL"),"EXCLUDE",IF(R117="LIMITED COVERAGE","CAUTION","RANKABLE"))</x:f>
        <x:v>EXCLUDE</x:v>
      </x:c>
      <x:c r="U117" s="43" t="str">
        <x:f>IF(T117="EXCLUDE","Illustrative only - do not assign an ordinary rank",IF(T117="CAUTION","Use with facility-coverage caveat","Decision-useable within the stated scenario only"))</x:f>
        <x:v>Illustrative only - do not assign an ordinary rank</x:v>
      </x:c>
    </x:row>
    <x:row r="118">
      <x:c r="A118" s="29" t="str">
        <x:f>'Results Raw'!$A$115</x:f>
        <x:v>MSFT</x:v>
      </x:c>
      <x:c r="B118" s="29" t="str">
        <x:f>'Results Raw'!$B$115</x:f>
        <x:v>Technology</x:v>
      </x:c>
      <x:c r="C118" s="29" t="str">
        <x:f>'Results Raw'!$E$115</x:f>
        <x:v>Fragmented vs baseline</x:v>
      </x:c>
      <x:c r="D118" s="29" t="str">
        <x:f>'Results Raw'!$I$115</x:f>
        <x:v>high</x:v>
      </x:c>
      <x:c r="E118" s="31" t="n">
        <x:f>'Results Raw'!$M$115/100</x:f>
        <x:v>-0.04524437794510816</x:v>
      </x:c>
      <x:c r="F118" s="33" t="n">
        <x:f>('Results Raw'!$O$115-'Results Raw'!$N$115)/1000000000</x:f>
        <x:v>-47.80975381045703</x:v>
      </x:c>
      <x:c r="G118" s="31" t="n">
        <x:f>IF(ABS('Results Raw'!$O$115)+ABS('Results Raw'!$N$115)=0,"",2*('Results Raw'!$O$115-'Results Raw'!$N$115)/(ABS('Results Raw'!$O$115)+ABS('Results Raw'!$N$115)))</x:f>
        <x:v>-0.04629159515862764</x:v>
      </x:c>
      <x:c r="H118" s="31" t="n">
        <x:f>'Results Raw'!$Z$115/100</x:f>
        <x:v>-0.0003200174054171114</x:v>
      </x:c>
      <x:c r="I118" s="31" t="n">
        <x:f>'Results Raw'!$AA$115/100</x:f>
        <x:v>-0.005910365126816115</x:v>
      </x:c>
      <x:c r="J118" s="31" t="n">
        <x:f>'Results Raw'!$AB$115/100</x:f>
        <x:v>-0.03901399541287496</x:v>
      </x:c>
      <x:c r="K118" s="35" t="n">
        <x:f>ABS(E118-SUM(H118:J118))</x:f>
        <x:v>2.7755575615628914e-17</x:v>
      </x:c>
      <x:c r="L118" s="37" t="n">
        <x:f>('Results Raw'!$W$115+'Results Raw'!$X$115+'Results Raw'!$Y$115)/1000000000</x:f>
        <x:v>11.560737218515794</x:v>
      </x:c>
      <x:c r="M118" s="37" t="n">
        <x:f>'Results Raw'!$R$115/1000000000</x:f>
        <x:v>-11.560737218515794</x:v>
      </x:c>
      <x:c r="N118" s="37" t="n">
        <x:f>ABS('Results Raw'!$R$115+'Results Raw'!$W$115+'Results Raw'!$X$115+'Results Raw'!$Y$115)/1000000000</x:f>
        <x:v>0</x:v>
      </x:c>
      <x:c r="O118" s="39" t="n">
        <x:f>IF(MIN(ABS('Results Raw'!$O$115),ABS('Results Raw'!$N$115))=0,"",MAX(ABS('Results Raw'!$O$115)/ABS('Results Raw'!$N$115),ABS('Results Raw'!$N$115)/ABS('Results Raw'!$O$115)))</x:f>
        <x:v>1.04738843836052</x:v>
      </x:c>
      <x:c r="P118" s="41" t="str">
        <x:f>IF('Results Raw'!$AO$115="","",'Results Raw'!$AO$115/100)</x:f>
      </x:c>
      <x:c r="Q118" s="29" t="str">
        <x:f>'Results Raw'!$AP$115</x:f>
        <x:v>Unverified</x:v>
      </x:c>
      <x:c r="R118" s="29" t="str">
        <x:f>IF(Q118="Unverified","PROXY / UNVERIFIED",IF(P118="","MISSING COVERAGE",IF(P118&lt;75%,"LIMITED COVERAGE","VERIFIED")))</x:f>
        <x:v>PROXY / UNVERIFIED</x:v>
      </x:c>
      <x:c r="S118" s="29" t="str">
        <x:f>IF(N118&gt;0.000001,"TERMINAL FCFF FLOOR",IF(OR('Results Raw'!$BK$115=TRUE,'Results Raw'!$BL$115=TRUE),"EV FLOOR",IF(OR(O118="",O118&gt;=4),"DENOMINATOR-SENSITIVE","NORMAL")))</x:f>
        <x:v>NORMAL</x:v>
      </x:c>
      <x:c r="T118" s="29" t="str">
        <x:f>IF(OR(R118="PROXY / UNVERIFIED",R118="MISSING COVERAGE",S118&lt;&gt;"NORMAL"),"EXCLUDE",IF(R118="LIMITED COVERAGE","CAUTION","RANKABLE"))</x:f>
        <x:v>EXCLUDE</x:v>
      </x:c>
      <x:c r="U118" s="43" t="str">
        <x:f>IF(T118="EXCLUDE","Illustrative only - do not assign an ordinary rank",IF(T118="CAUTION","Use with facility-coverage caveat","Decision-useable within the stated scenario only"))</x:f>
        <x:v>Illustrative only - do not assign an ordinary rank</x:v>
      </x:c>
    </x:row>
    <x:row r="119">
      <x:c r="A119" s="29" t="str">
        <x:f>'Results Raw'!$A$116</x:f>
        <x:v>NEE</x:v>
      </x:c>
      <x:c r="B119" s="29" t="str">
        <x:f>'Results Raw'!$B$116</x:f>
        <x:v>Utilities</x:v>
      </x:c>
      <x:c r="C119" s="29" t="str">
        <x:f>'Results Raw'!$E$116</x:f>
        <x:v>Fragmented vs baseline</x:v>
      </x:c>
      <x:c r="D119" s="29" t="str">
        <x:f>'Results Raw'!$I$116</x:f>
        <x:v>low</x:v>
      </x:c>
      <x:c r="E119" s="31" t="n">
        <x:f>'Results Raw'!$M$116/100</x:f>
        <x:v>-0.05041262193871865</x:v>
      </x:c>
      <x:c r="F119" s="33" t="n">
        <x:f>('Results Raw'!$O$116-'Results Raw'!$N$116)/1000000000</x:f>
        <x:v>-10.475098230640564</x:v>
      </x:c>
      <x:c r="G119" s="31" t="n">
        <x:f>IF(ABS('Results Raw'!$O$116)+ABS('Results Raw'!$N$116)=0,"",2*('Results Raw'!$O$116-'Results Raw'!$N$116)/(ABS('Results Raw'!$O$116)+ABS('Results Raw'!$N$116)))</x:f>
        <x:v>-0.05171619646907048</x:v>
      </x:c>
      <x:c r="H119" s="31" t="n">
        <x:f>'Results Raw'!$Z$116/100</x:f>
        <x:v>-0.013798839242365118</x:v>
      </x:c>
      <x:c r="I119" s="31" t="n">
        <x:f>'Results Raw'!$AA$116/100</x:f>
        <x:v>-0.002713313463263441</x:v>
      </x:c>
      <x:c r="J119" s="31" t="n">
        <x:f>'Results Raw'!$AB$116/100</x:f>
        <x:v>-0.03390046923309005</x:v>
      </x:c>
      <x:c r="K119" s="35" t="n">
        <x:f>ABS(E119-SUM(H119:J119))</x:f>
        <x:v>4.163336342344337e-17</x:v>
      </x:c>
      <x:c r="L119" s="37" t="n">
        <x:f>('Results Raw'!$W$116+'Results Raw'!$X$116+'Results Raw'!$Y$116)/1000000000</x:f>
        <x:v>1.2635637172040743</x:v>
      </x:c>
      <x:c r="M119" s="37" t="n">
        <x:f>'Results Raw'!$R$116/1000000000</x:f>
        <x:v>-1.2635637172040748</x:v>
      </x:c>
      <x:c r="N119" s="37" t="n">
        <x:f>ABS('Results Raw'!$R$116+'Results Raw'!$W$116+'Results Raw'!$X$116+'Results Raw'!$Y$116)/1000000000</x:f>
        <x:v>3.5762786865234375e-16</x:v>
      </x:c>
      <x:c r="O119" s="39" t="n">
        <x:f>IF(MIN(ABS('Results Raw'!$O$116),ABS('Results Raw'!$N$116))=0,"",MAX(ABS('Results Raw'!$O$116)/ABS('Results Raw'!$N$116),ABS('Results Raw'!$N$116)/ABS('Results Raw'!$O$116)))</x:f>
        <x:v>1.053088976436948</x:v>
      </x:c>
      <x:c r="P119" s="41" t="n">
        <x:f>IF('Results Raw'!$AO$116="","",'Results Raw'!$AO$116/100)</x:f>
        <x:v>0.8518518518518519</x:v>
      </x:c>
      <x:c r="Q119" s="29" t="str">
        <x:f>'Results Raw'!$AP$116</x:f>
        <x:v>High</x:v>
      </x:c>
      <x:c r="R119" s="29" t="str">
        <x:f>IF(Q119="Unverified","PROXY / UNVERIFIED",IF(P119="","MISSING COVERAGE",IF(P119&lt;75%,"LIMITED COVERAGE","VERIFIED")))</x:f>
        <x:v>VERIFIED</x:v>
      </x:c>
      <x:c r="S119" s="29" t="str">
        <x:f>IF(N119&gt;0.000001,"TERMINAL FCFF FLOOR",IF(OR('Results Raw'!$BK$116=TRUE,'Results Raw'!$BL$116=TRUE),"EV FLOOR",IF(OR(O119="",O119&gt;=4),"DENOMINATOR-SENSITIVE","NORMAL")))</x:f>
        <x:v>NORMAL</x:v>
      </x:c>
      <x:c r="T119" s="29" t="str">
        <x:f>IF(OR(R119="PROXY / UNVERIFIED",R119="MISSING COVERAGE",S119&lt;&gt;"NORMAL"),"EXCLUDE",IF(R119="LIMITED COVERAGE","CAUTION","RANKABLE"))</x:f>
        <x:v>RANKABLE</x:v>
      </x:c>
      <x:c r="U119" s="43" t="str">
        <x:f>IF(T119="EXCLUDE","Illustrative only - do not assign an ordinary rank",IF(T119="CAUTION","Use with facility-coverage caveat","Decision-useable within the stated scenario only"))</x:f>
        <x:v>Decision-useable within the stated scenario only</x:v>
      </x:c>
    </x:row>
    <x:row r="120">
      <x:c r="A120" s="29" t="str">
        <x:f>'Results Raw'!$A$117</x:f>
        <x:v>NEE</x:v>
      </x:c>
      <x:c r="B120" s="29" t="str">
        <x:f>'Results Raw'!$B$117</x:f>
        <x:v>Utilities</x:v>
      </x:c>
      <x:c r="C120" s="29" t="str">
        <x:f>'Results Raw'!$E$117</x:f>
        <x:v>Fragmented vs baseline</x:v>
      </x:c>
      <x:c r="D120" s="29" t="str">
        <x:f>'Results Raw'!$I$117</x:f>
        <x:v>base</x:v>
      </x:c>
      <x:c r="E120" s="31" t="n">
        <x:f>'Results Raw'!$M$117/100</x:f>
        <x:v>-0.11787203558983685</x:v>
      </x:c>
      <x:c r="F120" s="33" t="n">
        <x:f>('Results Raw'!$O$117-'Results Raw'!$N$117)/1000000000</x:f>
        <x:v>-24.49230180786914</x:v>
      </x:c>
      <x:c r="G120" s="31" t="n">
        <x:f>IF(ABS('Results Raw'!$O$117)+ABS('Results Raw'!$N$117)=0,"",2*('Results Raw'!$O$117-'Results Raw'!$N$117)/(ABS('Results Raw'!$O$117)+ABS('Results Raw'!$N$117)))</x:f>
        <x:v>-0.12525400803635212</x:v>
      </x:c>
      <x:c r="H120" s="31" t="n">
        <x:f>'Results Raw'!$Z$117/100</x:f>
        <x:v>-0.05192092085301625</x:v>
      </x:c>
      <x:c r="I120" s="31" t="n">
        <x:f>'Results Raw'!$AA$117/100</x:f>
        <x:v>-0.00783602462295189</x:v>
      </x:c>
      <x:c r="J120" s="31" t="n">
        <x:f>'Results Raw'!$AB$117/100</x:f>
        <x:v>-0.05811509011386867</x:v>
      </x:c>
      <x:c r="K120" s="35" t="n">
        <x:f>ABS(E120-SUM(H120:J120))</x:f>
        <x:v>4.163336342344337e-17</x:v>
      </x:c>
      <x:c r="L120" s="37" t="n">
        <x:f>('Results Raw'!$W$117+'Results Raw'!$X$117+'Results Raw'!$Y$117)/1000000000</x:f>
        <x:v>2.970922552359123</x:v>
      </x:c>
      <x:c r="M120" s="37" t="n">
        <x:f>'Results Raw'!$R$117/1000000000</x:f>
        <x:v>-2.970922552359123</x:v>
      </x:c>
      <x:c r="N120" s="37" t="n">
        <x:f>ABS('Results Raw'!$R$117+'Results Raw'!$W$117+'Results Raw'!$X$117+'Results Raw'!$Y$117)/1000000000</x:f>
        <x:v>0</x:v>
      </x:c>
      <x:c r="O120" s="39" t="n">
        <x:f>IF(MIN(ABS('Results Raw'!$O$117),ABS('Results Raw'!$N$117))=0,"",MAX(ABS('Results Raw'!$O$117)/ABS('Results Raw'!$N$117),ABS('Results Raw'!$N$117)/ABS('Results Raw'!$O$117)))</x:f>
        <x:v>1.1336223771895184</x:v>
      </x:c>
      <x:c r="P120" s="41" t="n">
        <x:f>IF('Results Raw'!$AO$117="","",'Results Raw'!$AO$117/100)</x:f>
        <x:v>0.8518518518518519</x:v>
      </x:c>
      <x:c r="Q120" s="29" t="str">
        <x:f>'Results Raw'!$AP$117</x:f>
        <x:v>High</x:v>
      </x:c>
      <x:c r="R120" s="29" t="str">
        <x:f>IF(Q120="Unverified","PROXY / UNVERIFIED",IF(P120="","MISSING COVERAGE",IF(P120&lt;75%,"LIMITED COVERAGE","VERIFIED")))</x:f>
        <x:v>VERIFIED</x:v>
      </x:c>
      <x:c r="S120" s="29" t="str">
        <x:f>IF(N120&gt;0.000001,"TERMINAL FCFF FLOOR",IF(OR('Results Raw'!$BK$117=TRUE,'Results Raw'!$BL$117=TRUE),"EV FLOOR",IF(OR(O120="",O120&gt;=4),"DENOMINATOR-SENSITIVE","NORMAL")))</x:f>
        <x:v>NORMAL</x:v>
      </x:c>
      <x:c r="T120" s="29" t="str">
        <x:f>IF(OR(R120="PROXY / UNVERIFIED",R120="MISSING COVERAGE",S120&lt;&gt;"NORMAL"),"EXCLUDE",IF(R120="LIMITED COVERAGE","CAUTION","RANKABLE"))</x:f>
        <x:v>RANKABLE</x:v>
      </x:c>
      <x:c r="U120" s="43" t="str">
        <x:f>IF(T120="EXCLUDE","Illustrative only - do not assign an ordinary rank",IF(T120="CAUTION","Use with facility-coverage caveat","Decision-useable within the stated scenario only"))</x:f>
        <x:v>Decision-useable within the stated scenario only</x:v>
      </x:c>
    </x:row>
    <x:row r="121">
      <x:c r="A121" s="29" t="str">
        <x:f>'Results Raw'!$A$118</x:f>
        <x:v>NEE</x:v>
      </x:c>
      <x:c r="B121" s="29" t="str">
        <x:f>'Results Raw'!$B$118</x:f>
        <x:v>Utilities</x:v>
      </x:c>
      <x:c r="C121" s="29" t="str">
        <x:f>'Results Raw'!$E$118</x:f>
        <x:v>Fragmented vs baseline</x:v>
      </x:c>
      <x:c r="D121" s="29" t="str">
        <x:f>'Results Raw'!$I$118</x:f>
        <x:v>high</x:v>
      </x:c>
      <x:c r="E121" s="31" t="n">
        <x:f>'Results Raw'!$M$118/100</x:f>
        <x:v>-0.2608892288201601</x:v>
      </x:c>
      <x:c r="F121" s="33" t="n">
        <x:f>('Results Raw'!$O$118-'Results Raw'!$N$118)/1000000000</x:f>
        <x:v>-54.20944585126459</x:v>
      </x:c>
      <x:c r="G121" s="31" t="n">
        <x:f>IF(ABS('Results Raw'!$O$118)+ABS('Results Raw'!$N$118)=0,"",2*('Results Raw'!$O$118-'Results Raw'!$N$118)/(ABS('Results Raw'!$O$118)+ABS('Results Raw'!$N$118)))</x:f>
        <x:v>-0.3000260054086937</x:v>
      </x:c>
      <x:c r="H121" s="31" t="n">
        <x:f>'Results Raw'!$Z$118/100</x:f>
        <x:v>-0.1468701825045175</x:v>
      </x:c>
      <x:c r="I121" s="31" t="n">
        <x:f>'Results Raw'!$AA$118/100</x:f>
        <x:v>-0.01716056279252816</x:v>
      </x:c>
      <x:c r="J121" s="31" t="n">
        <x:f>'Results Raw'!$AB$118/100</x:f>
        <x:v>-0.09685848352311438</x:v>
      </x:c>
      <x:c r="K121" s="35" t="n">
        <x:f>ABS(E121-SUM(H121:J121))</x:f>
        <x:v>5.551115123125783e-17</x:v>
      </x:c>
      <x:c r="L121" s="37" t="n">
        <x:f>('Results Raw'!$W$118+'Results Raw'!$X$118+'Results Raw'!$Y$118)/1000000000</x:f>
        <x:v>6.817981455112036</x:v>
      </x:c>
      <x:c r="M121" s="37" t="n">
        <x:f>'Results Raw'!$R$118/1000000000</x:f>
        <x:v>-6.817981455112036</x:v>
      </x:c>
      <x:c r="N121" s="37" t="n">
        <x:f>ABS('Results Raw'!$R$118+'Results Raw'!$W$118+'Results Raw'!$X$118+'Results Raw'!$Y$118)/1000000000</x:f>
        <x:v>4.76837158203125e-16</x:v>
      </x:c>
      <x:c r="O121" s="39" t="n">
        <x:f>IF(MIN(ABS('Results Raw'!$O$118),ABS('Results Raw'!$N$118))=0,"",MAX(ABS('Results Raw'!$O$118)/ABS('Results Raw'!$N$118),ABS('Results Raw'!$N$118)/ABS('Results Raw'!$O$118)))</x:f>
        <x:v>1.352977170666453</x:v>
      </x:c>
      <x:c r="P121" s="41" t="n">
        <x:f>IF('Results Raw'!$AO$118="","",'Results Raw'!$AO$118/100)</x:f>
        <x:v>0.8518518518518519</x:v>
      </x:c>
      <x:c r="Q121" s="29" t="str">
        <x:f>'Results Raw'!$AP$118</x:f>
        <x:v>High</x:v>
      </x:c>
      <x:c r="R121" s="29" t="str">
        <x:f>IF(Q121="Unverified","PROXY / UNVERIFIED",IF(P121="","MISSING COVERAGE",IF(P121&lt;75%,"LIMITED COVERAGE","VERIFIED")))</x:f>
        <x:v>VERIFIED</x:v>
      </x:c>
      <x:c r="S121" s="29" t="str">
        <x:f>IF(N121&gt;0.000001,"TERMINAL FCFF FLOOR",IF(OR('Results Raw'!$BK$118=TRUE,'Results Raw'!$BL$118=TRUE),"EV FLOOR",IF(OR(O121="",O121&gt;=4),"DENOMINATOR-SENSITIVE","NORMAL")))</x:f>
        <x:v>NORMAL</x:v>
      </x:c>
      <x:c r="T121" s="29" t="str">
        <x:f>IF(OR(R121="PROXY / UNVERIFIED",R121="MISSING COVERAGE",S121&lt;&gt;"NORMAL"),"EXCLUDE",IF(R121="LIMITED COVERAGE","CAUTION","RANKABLE"))</x:f>
        <x:v>RANKABLE</x:v>
      </x:c>
      <x:c r="U121" s="43" t="str">
        <x:f>IF(T121="EXCLUDE","Illustrative only - do not assign an ordinary rank",IF(T121="CAUTION","Use with facility-coverage caveat","Decision-useable within the stated scenario only"))</x:f>
        <x:v>Decision-useable within the stated scenario only</x:v>
      </x:c>
    </x:row>
    <x:row r="122">
      <x:c r="A122" s="29" t="str">
        <x:f>'Results Raw'!$A$119</x:f>
        <x:v>XOM</x:v>
      </x:c>
      <x:c r="B122" s="29" t="str">
        <x:f>'Results Raw'!$B$119</x:f>
        <x:v>Energy</x:v>
      </x:c>
      <x:c r="C122" s="29" t="str">
        <x:f>'Results Raw'!$E$119</x:f>
        <x:v>Fragmented vs baseline</x:v>
      </x:c>
      <x:c r="D122" s="29" t="str">
        <x:f>'Results Raw'!$I$119</x:f>
        <x:v>low</x:v>
      </x:c>
      <x:c r="E122" s="31" t="n">
        <x:f>'Results Raw'!$M$119/100</x:f>
        <x:v>-0.03713123020711118</x:v>
      </x:c>
      <x:c r="F122" s="33" t="n">
        <x:f>('Results Raw'!$O$119-'Results Raw'!$N$119)/1000000000</x:f>
        <x:v>-25.12329964149524</x:v>
      </x:c>
      <x:c r="G122" s="31" t="n">
        <x:f>IF(ABS('Results Raw'!$O$119)+ABS('Results Raw'!$N$119)=0,"",2*('Results Raw'!$O$119-'Results Raw'!$N$119)/(ABS('Results Raw'!$O$119)+ABS('Results Raw'!$N$119)))</x:f>
        <x:v>-0.037833634910834225</x:v>
      </x:c>
      <x:c r="H122" s="31" t="n">
        <x:f>'Results Raw'!$Z$119/100</x:f>
        <x:v>-0.015711893856599556</x:v>
      </x:c>
      <x:c r="I122" s="31" t="n">
        <x:f>'Results Raw'!$AA$119/100</x:f>
        <x:v>-0.0015478773976860352</x:v>
      </x:c>
      <x:c r="J122" s="31" t="n">
        <x:f>'Results Raw'!$AB$119/100</x:f>
        <x:v>-0.019871458952825636</x:v>
      </x:c>
      <x:c r="K122" s="35" t="n">
        <x:f>ABS(E122-SUM(H122:J122))</x:f>
        <x:v>5.551115123125783e-17</x:v>
      </x:c>
      <x:c r="L122" s="37" t="n">
        <x:f>('Results Raw'!$W$119+'Results Raw'!$X$119+'Results Raw'!$Y$119)/1000000000</x:f>
        <x:v>1.9022685553303953</x:v>
      </x:c>
      <x:c r="M122" s="37" t="n">
        <x:f>'Results Raw'!$R$119/1000000000</x:f>
        <x:v>-1.9022685553303986</x:v>
      </x:c>
      <x:c r="N122" s="37" t="n">
        <x:f>ABS('Results Raw'!$R$119+'Results Raw'!$W$119+'Results Raw'!$X$119+'Results Raw'!$Y$119)/1000000000</x:f>
        <x:v>3.576278686523437e-15</x:v>
      </x:c>
      <x:c r="O122" s="39" t="n">
        <x:f>IF(MIN(ABS('Results Raw'!$O$119),ABS('Results Raw'!$N$119))=0,"",MAX(ABS('Results Raw'!$O$119)/ABS('Results Raw'!$N$119),ABS('Results Raw'!$N$119)/ABS('Results Raw'!$O$119)))</x:f>
        <x:v>1.0385631265360264</x:v>
      </x:c>
      <x:c r="P122" s="41" t="n">
        <x:f>IF('Results Raw'!$AO$119="","",'Results Raw'!$AO$119/100)</x:f>
        <x:v>0.7205882352941176</x:v>
      </x:c>
      <x:c r="Q122" s="29" t="str">
        <x:f>'Results Raw'!$AP$119</x:f>
        <x:v>Medium</x:v>
      </x:c>
      <x:c r="R122" s="29" t="str">
        <x:f>IF(Q122="Unverified","PROXY / UNVERIFIED",IF(P122="","MISSING COVERAGE",IF(P122&lt;75%,"LIMITED COVERAGE","VERIFIED")))</x:f>
        <x:v>LIMITED COVERAGE</x:v>
      </x:c>
      <x:c r="S122" s="29" t="str">
        <x:f>IF(N122&gt;0.000001,"TERMINAL FCFF FLOOR",IF(OR('Results Raw'!$BK$119=TRUE,'Results Raw'!$BL$119=TRUE),"EV FLOOR",IF(OR(O122="",O122&gt;=4),"DENOMINATOR-SENSITIVE","NORMAL")))</x:f>
        <x:v>NORMAL</x:v>
      </x:c>
      <x:c r="T122" s="29" t="str">
        <x:f>IF(OR(R122="PROXY / UNVERIFIED",R122="MISSING COVERAGE",S122&lt;&gt;"NORMAL"),"EXCLUDE",IF(R122="LIMITED COVERAGE","CAUTION","RANKABLE"))</x:f>
        <x:v>CAUTION</x:v>
      </x:c>
      <x:c r="U122" s="43" t="str">
        <x:f>IF(T122="EXCLUDE","Illustrative only - do not assign an ordinary rank",IF(T122="CAUTION","Use with facility-coverage caveat","Decision-useable within the stated scenario only"))</x:f>
        <x:v>Use with facility-coverage caveat</x:v>
      </x:c>
    </x:row>
    <x:row r="123">
      <x:c r="A123" s="29" t="str">
        <x:f>'Results Raw'!$A$120</x:f>
        <x:v>XOM</x:v>
      </x:c>
      <x:c r="B123" s="29" t="str">
        <x:f>'Results Raw'!$B$120</x:f>
        <x:v>Energy</x:v>
      </x:c>
      <x:c r="C123" s="29" t="str">
        <x:f>'Results Raw'!$E$120</x:f>
        <x:v>Fragmented vs baseline</x:v>
      </x:c>
      <x:c r="D123" s="29" t="str">
        <x:f>'Results Raw'!$I$120</x:f>
        <x:v>base</x:v>
      </x:c>
      <x:c r="E123" s="31" t="n">
        <x:f>'Results Raw'!$M$120/100</x:f>
        <x:v>-0.10056203938444908</x:v>
      </x:c>
      <x:c r="F123" s="33" t="n">
        <x:f>('Results Raw'!$O$120-'Results Raw'!$N$120)/1000000000</x:f>
        <x:v>-68.04111347572595</x:v>
      </x:c>
      <x:c r="G123" s="31" t="n">
        <x:f>IF(ABS('Results Raw'!$O$120)+ABS('Results Raw'!$N$120)=0,"",2*('Results Raw'!$O$120-'Results Raw'!$N$120)/(ABS('Results Raw'!$O$120)+ABS('Results Raw'!$N$120)))</x:f>
        <x:v>-0.1058861004882306</x:v>
      </x:c>
      <x:c r="H123" s="31" t="n">
        <x:f>'Results Raw'!$Z$120/100</x:f>
        <x:v>-0.061895919680877674</x:v>
      </x:c>
      <x:c r="I123" s="31" t="n">
        <x:f>'Results Raw'!$AA$120/100</x:f>
        <x:v>-0.004600761498727236</x:v>
      </x:c>
      <x:c r="J123" s="31" t="n">
        <x:f>'Results Raw'!$AB$120/100</x:f>
        <x:v>-0.034065358204844104</x:v>
      </x:c>
      <x:c r="K123" s="35" t="n">
        <x:f>ABS(E123-SUM(H123:J123))</x:f>
        <x:v>5.551115123125783e-17</x:v>
      </x:c>
      <x:c r="L123" s="37" t="n">
        <x:f>('Results Raw'!$W$120+'Results Raw'!$X$120+'Results Raw'!$Y$120)/1000000000</x:f>
        <x:v>5.23804202506088</x:v>
      </x:c>
      <x:c r="M123" s="37" t="n">
        <x:f>'Results Raw'!$R$120/1000000000</x:f>
        <x:v>-5.238042025060879</x:v>
      </x:c>
      <x:c r="N123" s="37" t="n">
        <x:f>ABS('Results Raw'!$R$120+'Results Raw'!$W$120+'Results Raw'!$X$120+'Results Raw'!$Y$120)/1000000000</x:f>
        <x:v>1.1920928955078125e-15</x:v>
      </x:c>
      <x:c r="O123" s="39" t="n">
        <x:f>IF(MIN(ABS('Results Raw'!$O$120),ABS('Results Raw'!$N$120))=0,"",MAX(ABS('Results Raw'!$O$120)/ABS('Results Raw'!$N$120),ABS('Results Raw'!$N$120)/ABS('Results Raw'!$O$120)))</x:f>
        <x:v>1.1118054204823944</x:v>
      </x:c>
      <x:c r="P123" s="41" t="n">
        <x:f>IF('Results Raw'!$AO$120="","",'Results Raw'!$AO$120/100)</x:f>
        <x:v>0.7205882352941176</x:v>
      </x:c>
      <x:c r="Q123" s="29" t="str">
        <x:f>'Results Raw'!$AP$120</x:f>
        <x:v>Medium</x:v>
      </x:c>
      <x:c r="R123" s="29" t="str">
        <x:f>IF(Q123="Unverified","PROXY / UNVERIFIED",IF(P123="","MISSING COVERAGE",IF(P123&lt;75%,"LIMITED COVERAGE","VERIFIED")))</x:f>
        <x:v>LIMITED COVERAGE</x:v>
      </x:c>
      <x:c r="S123" s="29" t="str">
        <x:f>IF(N123&gt;0.000001,"TERMINAL FCFF FLOOR",IF(OR('Results Raw'!$BK$120=TRUE,'Results Raw'!$BL$120=TRUE),"EV FLOOR",IF(OR(O123="",O123&gt;=4),"DENOMINATOR-SENSITIVE","NORMAL")))</x:f>
        <x:v>NORMAL</x:v>
      </x:c>
      <x:c r="T123" s="29" t="str">
        <x:f>IF(OR(R123="PROXY / UNVERIFIED",R123="MISSING COVERAGE",S123&lt;&gt;"NORMAL"),"EXCLUDE",IF(R123="LIMITED COVERAGE","CAUTION","RANKABLE"))</x:f>
        <x:v>CAUTION</x:v>
      </x:c>
      <x:c r="U123" s="43" t="str">
        <x:f>IF(T123="EXCLUDE","Illustrative only - do not assign an ordinary rank",IF(T123="CAUTION","Use with facility-coverage caveat","Decision-useable within the stated scenario only"))</x:f>
        <x:v>Use with facility-coverage caveat</x:v>
      </x:c>
    </x:row>
    <x:row r="124">
      <x:c r="A124" s="29" t="str">
        <x:f>'Results Raw'!$A$121</x:f>
        <x:v>XOM</x:v>
      </x:c>
      <x:c r="B124" s="29" t="str">
        <x:f>'Results Raw'!$B$121</x:f>
        <x:v>Energy</x:v>
      </x:c>
      <x:c r="C124" s="29" t="str">
        <x:f>'Results Raw'!$E$121</x:f>
        <x:v>Fragmented vs baseline</x:v>
      </x:c>
      <x:c r="D124" s="29" t="str">
        <x:f>'Results Raw'!$I$121</x:f>
        <x:v>high</x:v>
      </x:c>
      <x:c r="E124" s="31" t="n">
        <x:f>'Results Raw'!$M$121/100</x:f>
        <x:v>-0.2516398411318327</x:v>
      </x:c>
      <x:c r="F124" s="33" t="n">
        <x:f>('Results Raw'!$O$121-'Results Raw'!$N$121)/1000000000</x:f>
        <x:v>-170.26161253559874</x:v>
      </x:c>
      <x:c r="G124" s="31" t="n">
        <x:f>IF(ABS('Results Raw'!$O$121)+ABS('Results Raw'!$N$121)=0,"",2*('Results Raw'!$O$121-'Results Raw'!$N$121)/(ABS('Results Raw'!$O$121)+ABS('Results Raw'!$N$121)))</x:f>
        <x:v>-0.2878581279211217</x:v>
      </x:c>
      <x:c r="H124" s="31" t="n">
        <x:f>'Results Raw'!$Z$121/100</x:f>
        <x:v>-0.18380214269398232</x:v>
      </x:c>
      <x:c r="I124" s="31" t="n">
        <x:f>'Results Raw'!$AA$121/100</x:f>
        <x:v>-0.011062101429776925</x:v>
      </x:c>
      <x:c r="J124" s="31" t="n">
        <x:f>'Results Raw'!$AB$121/100</x:f>
        <x:v>-0.05677559700807347</x:v>
      </x:c>
      <x:c r="K124" s="35" t="n">
        <x:f>ABS(E124-SUM(H124:J124))</x:f>
        <x:v>0</x:v>
      </x:c>
      <x:c r="L124" s="37" t="n">
        <x:f>('Results Raw'!$W$121+'Results Raw'!$X$121+'Results Raw'!$Y$121)/1000000000</x:f>
        <x:v>13.664127322651055</x:v>
      </x:c>
      <x:c r="M124" s="37" t="n">
        <x:f>'Results Raw'!$R$121/1000000000</x:f>
        <x:v>-13.664127322651055</x:v>
      </x:c>
      <x:c r="N124" s="37" t="n">
        <x:f>ABS('Results Raw'!$R$121+'Results Raw'!$W$121+'Results Raw'!$X$121+'Results Raw'!$Y$121)/1000000000</x:f>
        <x:v>0</x:v>
      </x:c>
      <x:c r="O124" s="39" t="n">
        <x:f>IF(MIN(ABS('Results Raw'!$O$121),ABS('Results Raw'!$N$121))=0,"",MAX(ABS('Results Raw'!$O$121)/ABS('Results Raw'!$N$121),ABS('Results Raw'!$N$121)/ABS('Results Raw'!$O$121)))</x:f>
        <x:v>1.336254994536878</x:v>
      </x:c>
      <x:c r="P124" s="41" t="n">
        <x:f>IF('Results Raw'!$AO$121="","",'Results Raw'!$AO$121/100)</x:f>
        <x:v>0.7205882352941176</x:v>
      </x:c>
      <x:c r="Q124" s="29" t="str">
        <x:f>'Results Raw'!$AP$121</x:f>
        <x:v>Medium</x:v>
      </x:c>
      <x:c r="R124" s="29" t="str">
        <x:f>IF(Q124="Unverified","PROXY / UNVERIFIED",IF(P124="","MISSING COVERAGE",IF(P124&lt;75%,"LIMITED COVERAGE","VERIFIED")))</x:f>
        <x:v>LIMITED COVERAGE</x:v>
      </x:c>
      <x:c r="S124" s="29" t="str">
        <x:f>IF(N124&gt;0.000001,"TERMINAL FCFF FLOOR",IF(OR('Results Raw'!$BK$121=TRUE,'Results Raw'!$BL$121=TRUE),"EV FLOOR",IF(OR(O124="",O124&gt;=4),"DENOMINATOR-SENSITIVE","NORMAL")))</x:f>
        <x:v>NORMAL</x:v>
      </x:c>
      <x:c r="T124" s="29" t="str">
        <x:f>IF(OR(R124="PROXY / UNVERIFIED",R124="MISSING COVERAGE",S124&lt;&gt;"NORMAL"),"EXCLUDE",IF(R124="LIMITED COVERAGE","CAUTION","RANKABLE"))</x:f>
        <x:v>CAUTION</x:v>
      </x:c>
      <x:c r="U124" s="43" t="str">
        <x:f>IF(T124="EXCLUDE","Illustrative only - do not assign an ordinary rank",IF(T124="CAUTION","Use with facility-coverage caveat","Decision-useable within the stated scenario only"))</x:f>
        <x:v>Use with facility-coverage caveat</x:v>
      </x:c>
    </x:row>
  </x:sheetData>
  <x:mergeCells>
    <x:mergeCell ref="A1:U1"/>
    <x:mergeCell ref="A2:U2"/>
  </x:mergeCells>
  <x:conditionalFormatting sqref="R5:T124">
    <x:cfRule type="containsText" dxfId="0" priority="1" operator="containsText" text="OK"/>
    <x:cfRule type="containsText" dxfId="1" priority="2" operator="containsText" text="RANKABLE"/>
    <x:cfRule type="containsText" dxfId="2" priority="3" operator="containsText" text="CAUTION"/>
    <x:cfRule type="containsText" dxfId="3" priority="4" operator="containsText" text="WARN"/>
    <x:cfRule type="containsText" dxfId="4" priority="5" operator="containsText" text="EXCLUDE"/>
    <x:cfRule type="containsText" dxfId="5" priority="6" operator="containsText" text="FAIL"/>
    <x:cfRule type="containsText" dxfId="6" priority="7" operator="containsText" text="LIMITED"/>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6" hidden="0" customWidth="1"/>
    <x:col min="4" max="4" width="15" hidden="0" customWidth="1"/>
    <x:col min="5" max="5" width="15" hidden="0" customWidth="1"/>
    <x:col min="6" max="6" width="15" hidden="0" customWidth="1"/>
    <x:col min="7" max="7" width="15" hidden="0" customWidth="1"/>
    <x:col min="8" max="8" width="10" hidden="0" customWidth="1"/>
    <x:col min="9" max="9" width="12" hidden="0" customWidth="1"/>
    <x:col min="10" max="10" width="14" hidden="0" customWidth="1"/>
    <x:col min="11" max="11" width="18" hidden="0" customWidth="1"/>
    <x:col min="12" max="12" width="14" hidden="0" customWidth="1"/>
    <x:col min="13" max="13" width="12" hidden="0" customWidth="1"/>
    <x:col min="14" max="14" width="14" hidden="0" customWidth="1"/>
    <x:col min="15" max="15" width="14" hidden="0" customWidth="1"/>
    <x:col min="16" max="16" width="12" hidden="0" customWidth="1"/>
    <x:col min="17" max="17" width="14" hidden="0" customWidth="1"/>
    <x:col min="18" max="18" width="14" hidden="0" customWidth="1"/>
    <x:col min="19" max="19" width="16" hidden="0" customWidth="1"/>
    <x:col min="20" max="20" width="14" hidden="0" customWidth="1"/>
    <x:col min="21" max="21" width="18" hidden="0" customWidth="1"/>
    <x:col min="22" max="22" width="14" hidden="0" customWidth="1"/>
    <x:col min="23" max="23" width="16" hidden="0" customWidth="1"/>
    <x:col min="24" max="24" width="12" hidden="0" customWidth="1"/>
    <x:col min="25" max="25" width="44" hidden="0" customWidth="1"/>
    <x:col min="26" max="26" width="42" hidden="0" customWidth="1"/>
  </x:cols>
  <x:sheetData>
    <x:row r="1" ht="30" customHeight="1">
      <x:c r="A1" s="18" t="str">
        <x:v>Issuer Inputs - normalized units</x:v>
      </x:c>
      <x:c r="B1" s="18" t="str">
        <x:v>Issuer Inputs - normalized units</x:v>
      </x:c>
      <x:c r="C1" s="18" t="str">
        <x:v>Issuer Inputs - normalized units</x:v>
      </x:c>
      <x:c r="D1" s="18" t="str">
        <x:v>Issuer Inputs - normalized units</x:v>
      </x:c>
      <x:c r="E1" s="18" t="str">
        <x:v>Issuer Inputs - normalized units</x:v>
      </x:c>
      <x:c r="F1" s="18" t="str">
        <x:v>Issuer Inputs - normalized units</x:v>
      </x:c>
      <x:c r="G1" s="18" t="str">
        <x:v>Issuer Inputs - normalized units</x:v>
      </x:c>
      <x:c r="H1" s="18" t="str">
        <x:v>Issuer Inputs - normalized units</x:v>
      </x:c>
      <x:c r="I1" s="18" t="str">
        <x:v>Issuer Inputs - normalized units</x:v>
      </x:c>
      <x:c r="J1" s="18" t="str">
        <x:v>Issuer Inputs - normalized units</x:v>
      </x:c>
      <x:c r="K1" s="18" t="str">
        <x:v>Issuer Inputs - normalized units</x:v>
      </x:c>
      <x:c r="L1" s="18" t="str">
        <x:v>Issuer Inputs - normalized units</x:v>
      </x:c>
      <x:c r="M1" s="18" t="str">
        <x:v>Issuer Inputs - normalized units</x:v>
      </x:c>
      <x:c r="N1" s="18" t="str">
        <x:v>Issuer Inputs - normalized units</x:v>
      </x:c>
      <x:c r="O1" s="18" t="str">
        <x:v>Issuer Inputs - normalized units</x:v>
      </x:c>
      <x:c r="P1" s="18" t="str">
        <x:v>Issuer Inputs - normalized units</x:v>
      </x:c>
      <x:c r="Q1" s="18" t="str">
        <x:v>Issuer Inputs - normalized units</x:v>
      </x:c>
      <x:c r="R1" s="18" t="str">
        <x:v>Issuer Inputs - normalized units</x:v>
      </x:c>
      <x:c r="S1" s="18" t="str">
        <x:v>Issuer Inputs - normalized units</x:v>
      </x:c>
      <x:c r="T1" s="18" t="str">
        <x:v>Issuer Inputs - normalized units</x:v>
      </x:c>
      <x:c r="U1" s="18" t="str">
        <x:v>Issuer Inputs - normalized units</x:v>
      </x:c>
      <x:c r="V1" s="18" t="str">
        <x:v>Issuer Inputs - normalized units</x:v>
      </x:c>
      <x:c r="W1" s="18" t="str">
        <x:v>Issuer Inputs - normalized units</x:v>
      </x:c>
      <x:c r="X1" s="18" t="str">
        <x:v>Issuer Inputs - normalized units</x:v>
      </x:c>
      <x:c r="Y1" s="18" t="str">
        <x:v>Issuer Inputs - normalized units</x:v>
      </x:c>
      <x:c r="Z1" s="18" t="str">
        <x:v>Issuer Inputs - normalized units</x:v>
      </x:c>
    </x:row>
    <x:row r="2" ht="28" customHeight="1">
      <x:c r="A2" s="22" t="str">
        <x:v>Source values are linked from Inputs Raw. Percentages are stored as true spreadsheet percentages here; emissions are in MtCO2e and financial amounts in $bn.</x:v>
      </x:c>
      <x:c r="B2" s="22" t="str">
        <x:v>Source values are linked from Inputs Raw. Percentages are stored as true spreadsheet percentages here; emissions are in MtCO2e and financial amounts in $bn.</x:v>
      </x:c>
      <x:c r="C2" s="22" t="str">
        <x:v>Source values are linked from Inputs Raw. Percentages are stored as true spreadsheet percentages here; emissions are in MtCO2e and financial amounts in $bn.</x:v>
      </x:c>
      <x:c r="D2" s="22" t="str">
        <x:v>Source values are linked from Inputs Raw. Percentages are stored as true spreadsheet percentages here; emissions are in MtCO2e and financial amounts in $bn.</x:v>
      </x:c>
      <x:c r="E2" s="22" t="str">
        <x:v>Source values are linked from Inputs Raw. Percentages are stored as true spreadsheet percentages here; emissions are in MtCO2e and financial amounts in $bn.</x:v>
      </x:c>
      <x:c r="F2" s="22" t="str">
        <x:v>Source values are linked from Inputs Raw. Percentages are stored as true spreadsheet percentages here; emissions are in MtCO2e and financial amounts in $bn.</x:v>
      </x:c>
      <x:c r="G2" s="22" t="str">
        <x:v>Source values are linked from Inputs Raw. Percentages are stored as true spreadsheet percentages here; emissions are in MtCO2e and financial amounts in $bn.</x:v>
      </x:c>
      <x:c r="H2" s="22" t="str">
        <x:v>Source values are linked from Inputs Raw. Percentages are stored as true spreadsheet percentages here; emissions are in MtCO2e and financial amounts in $bn.</x:v>
      </x:c>
      <x:c r="I2" s="22" t="str">
        <x:v>Source values are linked from Inputs Raw. Percentages are stored as true spreadsheet percentages here; emissions are in MtCO2e and financial amounts in $bn.</x:v>
      </x:c>
      <x:c r="J2" s="22" t="str">
        <x:v>Source values are linked from Inputs Raw. Percentages are stored as true spreadsheet percentages here; emissions are in MtCO2e and financial amounts in $bn.</x:v>
      </x:c>
      <x:c r="K2" s="22" t="str">
        <x:v>Source values are linked from Inputs Raw. Percentages are stored as true spreadsheet percentages here; emissions are in MtCO2e and financial amounts in $bn.</x:v>
      </x:c>
      <x:c r="L2" s="22" t="str">
        <x:v>Source values are linked from Inputs Raw. Percentages are stored as true spreadsheet percentages here; emissions are in MtCO2e and financial amounts in $bn.</x:v>
      </x:c>
      <x:c r="M2" s="22" t="str">
        <x:v>Source values are linked from Inputs Raw. Percentages are stored as true spreadsheet percentages here; emissions are in MtCO2e and financial amounts in $bn.</x:v>
      </x:c>
      <x:c r="N2" s="22" t="str">
        <x:v>Source values are linked from Inputs Raw. Percentages are stored as true spreadsheet percentages here; emissions are in MtCO2e and financial amounts in $bn.</x:v>
      </x:c>
      <x:c r="O2" s="22" t="str">
        <x:v>Source values are linked from Inputs Raw. Percentages are stored as true spreadsheet percentages here; emissions are in MtCO2e and financial amounts in $bn.</x:v>
      </x:c>
      <x:c r="P2" s="22" t="str">
        <x:v>Source values are linked from Inputs Raw. Percentages are stored as true spreadsheet percentages here; emissions are in MtCO2e and financial amounts in $bn.</x:v>
      </x:c>
      <x:c r="Q2" s="22" t="str">
        <x:v>Source values are linked from Inputs Raw. Percentages are stored as true spreadsheet percentages here; emissions are in MtCO2e and financial amounts in $bn.</x:v>
      </x:c>
      <x:c r="R2" s="22" t="str">
        <x:v>Source values are linked from Inputs Raw. Percentages are stored as true spreadsheet percentages here; emissions are in MtCO2e and financial amounts in $bn.</x:v>
      </x:c>
      <x:c r="S2" s="22" t="str">
        <x:v>Source values are linked from Inputs Raw. Percentages are stored as true spreadsheet percentages here; emissions are in MtCO2e and financial amounts in $bn.</x:v>
      </x:c>
      <x:c r="T2" s="22" t="str">
        <x:v>Source values are linked from Inputs Raw. Percentages are stored as true spreadsheet percentages here; emissions are in MtCO2e and financial amounts in $bn.</x:v>
      </x:c>
      <x:c r="U2" s="22" t="str">
        <x:v>Source values are linked from Inputs Raw. Percentages are stored as true spreadsheet percentages here; emissions are in MtCO2e and financial amounts in $bn.</x:v>
      </x:c>
      <x:c r="V2" s="22" t="str">
        <x:v>Source values are linked from Inputs Raw. Percentages are stored as true spreadsheet percentages here; emissions are in MtCO2e and financial amounts in $bn.</x:v>
      </x:c>
      <x:c r="W2" s="22" t="str">
        <x:v>Source values are linked from Inputs Raw. Percentages are stored as true spreadsheet percentages here; emissions are in MtCO2e and financial amounts in $bn.</x:v>
      </x:c>
      <x:c r="X2" s="22" t="str">
        <x:v>Source values are linked from Inputs Raw. Percentages are stored as true spreadsheet percentages here; emissions are in MtCO2e and financial amounts in $bn.</x:v>
      </x:c>
      <x:c r="Y2" s="22" t="str">
        <x:v>Source values are linked from Inputs Raw. Percentages are stored as true spreadsheet percentages here; emissions are in MtCO2e and financial amounts in $bn.</x:v>
      </x:c>
      <x:c r="Z2" s="22" t="str">
        <x:v>Source values are linked from Inputs Raw. Percentages are stored as true spreadsheet percentages here; emissions are in MtCO2e and financial amounts in $bn.</x:v>
      </x:c>
    </x:row>
    <x:row r="4">
      <x:c r="A4" s="7" t="str">
        <x:v>Ticker</x:v>
      </x:c>
      <x:c r="B4" s="7" t="str">
        <x:v>Sector</x:v>
      </x:c>
      <x:c r="C4" s="7" t="str">
        <x:v>Normalized FCFF ($bn)</x:v>
      </x:c>
      <x:c r="D4" s="7" t="str">
        <x:v>Scope 1 (MtCO2e)</x:v>
      </x:c>
      <x:c r="E4" s="7" t="str">
        <x:v>Scope 2 (MtCO2e)</x:v>
      </x:c>
      <x:c r="F4" s="7" t="str">
        <x:v>Scope 3 (MtCO2e)</x:v>
      </x:c>
      <x:c r="G4" s="7" t="str">
        <x:v>Net PP&amp;E ($bn)</x:v>
      </x:c>
      <x:c r="H4" s="7" t="str">
        <x:v>Facilities</x:v>
      </x:c>
      <x:c r="I4" s="7" t="str">
        <x:v>FEMA matches</x:v>
      </x:c>
      <x:c r="J4" s="7" t="str">
        <x:v>Match coverage</x:v>
      </x:c>
      <x:c r="K4" s="7" t="str">
        <x:v>Physical confidence</x:v>
      </x:c>
      <x:c r="L4" s="7" t="str">
        <x:v>FEMA EAL rate</x:v>
      </x:c>
      <x:c r="M4" s="7" t="str">
        <x:v>WACC</x:v>
      </x:c>
      <x:c r="N4" s="7" t="str">
        <x:v>Terminal growth</x:v>
      </x:c>
      <x:c r="O4" s="7" t="str">
        <x:v>Policy coverage</x:v>
      </x:c>
      <x:c r="P4" s="7" t="str">
        <x:v>Pass-through</x:v>
      </x:c>
      <x:c r="Q4" s="7" t="str">
        <x:v>Scope 2 incidence</x:v>
      </x:c>
      <x:c r="R4" s="7" t="str">
        <x:v>Scope 3 incidence</x:v>
      </x:c>
      <x:c r="S4" s="7" t="str">
        <x:v>Annual emissions decline</x:v>
      </x:c>
      <x:c r="T4" s="7" t="str">
        <x:v>Covered PP&amp;E share</x:v>
      </x:c>
      <x:c r="U4" s="7" t="str">
        <x:v>Insurance/adaptation recovery</x:v>
      </x:c>
      <x:c r="V4" s="7" t="str">
        <x:v>Macro elasticity</x:v>
      </x:c>
      <x:c r="W4" s="7" t="str">
        <x:v>Macro dependency scale</x:v>
      </x:c>
      <x:c r="X4" s="7" t="str">
        <x:v>WACC &gt; g</x:v>
      </x:c>
      <x:c r="Y4" s="7" t="str">
        <x:v>Physical evidence</x:v>
      </x:c>
      <x:c r="Z4" s="7" t="str">
        <x:v>Classification</x:v>
      </x:c>
    </x:row>
    <x:row r="5">
      <x:c r="A5" s="28" t="str">
        <x:f>'Inputs Raw'!$A$2</x:f>
        <x:v>AAPL</x:v>
      </x:c>
      <x:c r="B5" s="28" t="str">
        <x:f>'Inputs Raw'!$B$2</x:f>
        <x:v>Technology</x:v>
      </x:c>
      <x:c r="C5" s="32" t="n">
        <x:f>'Inputs Raw'!$D$2/1000000000</x:f>
        <x:v>102.78446600931221</x:v>
      </x:c>
      <x:c r="D5" s="44" t="n">
        <x:f>'Inputs Raw'!$E$2/1000000</x:f>
        <x:v>0.0552</x:v>
      </x:c>
      <x:c r="E5" s="44" t="n">
        <x:f>'Inputs Raw'!$F$2/1000000</x:f>
        <x:v>0.0033</x:v>
      </x:c>
      <x:c r="F5" s="44" t="n">
        <x:f>'Inputs Raw'!$G$2/1000000</x:f>
        <x:v>15.11</x:v>
      </x:c>
      <x:c r="G5" s="44" t="n">
        <x:f>'Inputs Raw'!$H$2/1000000000</x:f>
        <x:v>50.159</x:v>
      </x:c>
      <x:c r="H5" s="46" t="n">
        <x:f>'Inputs Raw'!$I$2</x:f>
        <x:v>0</x:v>
      </x:c>
      <x:c r="I5" s="46" t="n">
        <x:f>'Inputs Raw'!$J$2</x:f>
        <x:v>0</x:v>
      </x:c>
      <x:c r="J5" s="40" t="str">
        <x:f>IF('Inputs Raw'!$K$2="","",'Inputs Raw'!$K$2/100)</x:f>
      </x:c>
      <x:c r="K5" s="28" t="str">
        <x:f>'Inputs Raw'!$L$2</x:f>
        <x:v>Unverified</x:v>
      </x:c>
      <x:c r="L5" s="30" t="n">
        <x:f>'Inputs Raw'!$N$2/100</x:f>
        <x:v>0.0018089619337783003</x:v>
      </x:c>
      <x:c r="M5" s="30" t="n">
        <x:f>'Inputs Raw'!$P$2/100</x:f>
        <x:v>0.09468635607765986</x:v>
      </x:c>
      <x:c r="N5" s="30" t="n">
        <x:f>'Inputs Raw'!$Q$2/100</x:f>
        <x:v>0.025</x:v>
      </x:c>
      <x:c r="O5" s="30" t="n">
        <x:f>'Inputs Raw'!$R$2</x:f>
        <x:v>0.75</x:v>
      </x:c>
      <x:c r="P5" s="30" t="n">
        <x:f>'Inputs Raw'!$S$2</x:f>
        <x:v>0.5</x:v>
      </x:c>
      <x:c r="Q5" s="30" t="n">
        <x:f>'Inputs Raw'!$T$2</x:f>
        <x:v>0.5</x:v>
      </x:c>
      <x:c r="R5" s="30" t="n">
        <x:f>'Inputs Raw'!$U$2</x:f>
        <x:v>0.02</x:v>
      </x:c>
      <x:c r="S5" s="30" t="n">
        <x:f>'Inputs Raw'!$V$2</x:f>
        <x:v>0.03</x:v>
      </x:c>
      <x:c r="T5" s="30" t="n">
        <x:f>'Inputs Raw'!$W$2</x:f>
        <x:v>0.1</x:v>
      </x:c>
      <x:c r="U5" s="30" t="n">
        <x:f>'Inputs Raw'!$X$2</x:f>
        <x:v>0.5</x:v>
      </x:c>
      <x:c r="V5" s="30" t="n">
        <x:f>'Inputs Raw'!$AB$2</x:f>
        <x:v>0.6</x:v>
      </x:c>
      <x:c r="W5" s="48" t="n">
        <x:f>'Inputs Raw'!$AC$2</x:f>
        <x:v>0.6140542867906926</x:v>
      </x:c>
      <x:c r="X5" s="28" t="str">
        <x:f>IF(M5&gt;N5,"OK","FAIL")</x:f>
        <x:v>OK</x:v>
      </x:c>
      <x:c r="Y5" s="42" t="str">
        <x:f>'Inputs Raw'!$M$2</x:f>
        <x:v>Proxy fallback; no issuer facilities in governed match file</x:v>
      </x:c>
      <x:c r="Z5" s="42" t="str">
        <x:f>'Inputs Raw'!$AE$2</x:f>
        <x:v>Modeled estimate using observed inputs + disclosed assumptions</x:v>
      </x:c>
    </x:row>
    <x:row r="6">
      <x:c r="A6" s="29" t="str">
        <x:f>'Inputs Raw'!$A$3</x:f>
        <x:v>CAT</x:v>
      </x:c>
      <x:c r="B6" s="29" t="str">
        <x:f>'Inputs Raw'!$B$3</x:f>
        <x:v>Industrials</x:v>
      </x:c>
      <x:c r="C6" s="33" t="n">
        <x:f>'Inputs Raw'!$D$3/1000000000</x:f>
        <x:v>10.636693843707409</x:v>
      </x:c>
      <x:c r="D6" s="45" t="n">
        <x:f>'Inputs Raw'!$E$3/1000000</x:f>
        <x:v>0.68</x:v>
      </x:c>
      <x:c r="E6" s="45" t="n">
        <x:f>'Inputs Raw'!$F$3/1000000</x:f>
        <x:v>0.69</x:v>
      </x:c>
      <x:c r="F6" s="45" t="n">
        <x:f>'Inputs Raw'!$G$3/1000000</x:f>
        <x:v>680</x:v>
      </x:c>
      <x:c r="G6" s="45" t="n">
        <x:f>'Inputs Raw'!$H$3/1000000000</x:f>
        <x:v>15.14</x:v>
      </x:c>
      <x:c r="H6" s="47" t="n">
        <x:f>'Inputs Raw'!$I$3</x:f>
        <x:v>7</x:v>
      </x:c>
      <x:c r="I6" s="47" t="n">
        <x:f>'Inputs Raw'!$J$3</x:f>
        <x:v>7</x:v>
      </x:c>
      <x:c r="J6" s="41" t="n">
        <x:f>IF('Inputs Raw'!$K$3="","",'Inputs Raw'!$K$3/100)</x:f>
        <x:v>1</x:v>
      </x:c>
      <x:c r="K6" s="29" t="str">
        <x:f>'Inputs Raw'!$L$3</x:f>
        <x:v>High</x:v>
      </x:c>
      <x:c r="L6" s="31" t="n">
        <x:f>'Inputs Raw'!$N$3/100</x:f>
        <x:v>0.001250652491518801</x:v>
      </x:c>
      <x:c r="M6" s="31" t="n">
        <x:f>'Inputs Raw'!$P$3/100</x:f>
        <x:v>0.11136677389433892</x:v>
      </x:c>
      <x:c r="N6" s="31" t="n">
        <x:f>'Inputs Raw'!$Q$3/100</x:f>
        <x:v>0.022</x:v>
      </x:c>
      <x:c r="O6" s="31" t="n">
        <x:f>'Inputs Raw'!$R$3</x:f>
        <x:v>0.75</x:v>
      </x:c>
      <x:c r="P6" s="31" t="n">
        <x:f>'Inputs Raw'!$S$3</x:f>
        <x:v>0.5</x:v>
      </x:c>
      <x:c r="Q6" s="31" t="n">
        <x:f>'Inputs Raw'!$T$3</x:f>
        <x:v>0.5</x:v>
      </x:c>
      <x:c r="R6" s="31" t="n">
        <x:f>'Inputs Raw'!$U$3</x:f>
        <x:v>0.008</x:v>
      </x:c>
      <x:c r="S6" s="31" t="n">
        <x:f>'Inputs Raw'!$V$3</x:f>
        <x:v>0.03</x:v>
      </x:c>
      <x:c r="T6" s="31" t="n">
        <x:f>'Inputs Raw'!$W$3</x:f>
        <x:v>0.25</x:v>
      </x:c>
      <x:c r="U6" s="31" t="n">
        <x:f>'Inputs Raw'!$X$3</x:f>
        <x:v>0.5</x:v>
      </x:c>
      <x:c r="V6" s="31" t="n">
        <x:f>'Inputs Raw'!$AB$3</x:f>
        <x:v>0.6</x:v>
      </x:c>
      <x:c r="W6" s="49" t="n">
        <x:f>'Inputs Raw'!$AC$3</x:f>
        <x:v>0.7403100775193798</x:v>
      </x:c>
      <x:c r="X6" s="29" t="str">
        <x:f>IF(M6&gt;N6,"OK","FAIL")</x:f>
        <x:v>OK</x:v>
      </x:c>
      <x:c r="Y6" s="43" t="str">
        <x:f>'Inputs Raw'!$M$3</x:f>
        <x:v>Issuer facility-to-FEMA county match</x:v>
      </x:c>
      <x:c r="Z6" s="43" t="str">
        <x:f>'Inputs Raw'!$AE$3</x:f>
        <x:v>Modeled estimate using observed inputs + disclosed assumptions</x:v>
      </x:c>
    </x:row>
    <x:row r="7">
      <x:c r="A7" s="29" t="str">
        <x:f>'Inputs Raw'!$A$4</x:f>
        <x:v>CVX</x:v>
      </x:c>
      <x:c r="B7" s="29" t="str">
        <x:f>'Inputs Raw'!$B$4</x:f>
        <x:v>Energy</x:v>
      </x:c>
      <x:c r="C7" s="33" t="n">
        <x:f>'Inputs Raw'!$D$4/1000000000</x:f>
        <x:v>18.14223045632</x:v>
      </x:c>
      <x:c r="D7" s="45" t="n">
        <x:f>'Inputs Raw'!$E$4/1000000</x:f>
        <x:v>54</x:v>
      </x:c>
      <x:c r="E7" s="45" t="n">
        <x:f>'Inputs Raw'!$F$4/1000000</x:f>
        <x:v>4</x:v>
      </x:c>
      <x:c r="F7" s="45" t="n">
        <x:f>'Inputs Raw'!$G$4/1000000</x:f>
        <x:v>432</x:v>
      </x:c>
      <x:c r="G7" s="45" t="n">
        <x:f>'Inputs Raw'!$H$4/1000000000</x:f>
        <x:v>219.729</x:v>
      </x:c>
      <x:c r="H7" s="47" t="n">
        <x:f>'Inputs Raw'!$I$4</x:f>
        <x:v>53</x:v>
      </x:c>
      <x:c r="I7" s="47" t="n">
        <x:f>'Inputs Raw'!$J$4</x:f>
        <x:v>34</x:v>
      </x:c>
      <x:c r="J7" s="41" t="n">
        <x:f>IF('Inputs Raw'!$K$4="","",'Inputs Raw'!$K$4/100)</x:f>
        <x:v>0.6415094339622641</x:v>
      </x:c>
      <x:c r="K7" s="29" t="str">
        <x:f>'Inputs Raw'!$L$4</x:f>
        <x:v>Medium</x:v>
      </x:c>
      <x:c r="L7" s="31" t="n">
        <x:f>'Inputs Raw'!$N$4/100</x:f>
        <x:v>0.0031761728843062802</x:v>
      </x:c>
      <x:c r="M7" s="31" t="n">
        <x:f>'Inputs Raw'!$P$4/100</x:f>
        <x:v>0.06703409024859606</x:v>
      </x:c>
      <x:c r="N7" s="31" t="n">
        <x:f>'Inputs Raw'!$Q$4/100</x:f>
        <x:v>0.018</x:v>
      </x:c>
      <x:c r="O7" s="31" t="n">
        <x:f>'Inputs Raw'!$R$4</x:f>
        <x:v>0.75</x:v>
      </x:c>
      <x:c r="P7" s="31" t="n">
        <x:f>'Inputs Raw'!$S$4</x:f>
        <x:v>0.5</x:v>
      </x:c>
      <x:c r="Q7" s="31" t="n">
        <x:f>'Inputs Raw'!$T$4</x:f>
        <x:v>0.5</x:v>
      </x:c>
      <x:c r="R7" s="31" t="n">
        <x:f>'Inputs Raw'!$U$4</x:f>
        <x:v>0.003</x:v>
      </x:c>
      <x:c r="S7" s="31" t="n">
        <x:f>'Inputs Raw'!$V$4</x:f>
        <x:v>0.03</x:v>
      </x:c>
      <x:c r="T7" s="31" t="n">
        <x:f>'Inputs Raw'!$W$4</x:f>
        <x:v>0.45</x:v>
      </x:c>
      <x:c r="U7" s="31" t="n">
        <x:f>'Inputs Raw'!$X$4</x:f>
        <x:v>0.5</x:v>
      </x:c>
      <x:c r="V7" s="31" t="n">
        <x:f>'Inputs Raw'!$AB$4</x:f>
        <x:v>0.6</x:v>
      </x:c>
      <x:c r="W7" s="49" t="n">
        <x:f>'Inputs Raw'!$AC$4</x:f>
        <x:v>1.0111228969621968</x:v>
      </x:c>
      <x:c r="X7" s="29" t="str">
        <x:f>IF(M7&gt;N7,"OK","FAIL")</x:f>
        <x:v>OK</x:v>
      </x:c>
      <x:c r="Y7" s="43" t="str">
        <x:f>'Inputs Raw'!$M$4</x:f>
        <x:v>Issuer facility-to-FEMA county match</x:v>
      </x:c>
      <x:c r="Z7" s="43" t="str">
        <x:f>'Inputs Raw'!$AE$4</x:f>
        <x:v>Modeled estimate using observed inputs + disclosed assumptions</x:v>
      </x:c>
    </x:row>
    <x:row r="8">
      <x:c r="A8" s="29" t="str">
        <x:f>'Inputs Raw'!$A$5</x:f>
        <x:v>DE</x:v>
      </x:c>
      <x:c r="B8" s="29" t="str">
        <x:f>'Inputs Raw'!$B$5</x:f>
        <x:v>Industrials</x:v>
      </x:c>
      <x:c r="C8" s="33" t="n">
        <x:f>'Inputs Raw'!$D$5/1000000000</x:f>
        <x:v>8.631149592456447</x:v>
      </x:c>
      <x:c r="D8" s="45" t="n">
        <x:f>'Inputs Raw'!$E$5/1000000</x:f>
        <x:v>0.3539</x:v>
      </x:c>
      <x:c r="E8" s="45" t="n">
        <x:f>'Inputs Raw'!$F$5/1000000</x:f>
        <x:v>0.224</x:v>
      </x:c>
      <x:c r="F8" s="45" t="n">
        <x:f>'Inputs Raw'!$G$5/1000000</x:f>
        <x:v>81.736</x:v>
      </x:c>
      <x:c r="G8" s="45" t="n">
        <x:f>'Inputs Raw'!$H$5/1000000000</x:f>
        <x:v>8.079</x:v>
      </x:c>
      <x:c r="H8" s="47" t="n">
        <x:f>'Inputs Raw'!$I$5</x:f>
        <x:v>1</x:v>
      </x:c>
      <x:c r="I8" s="47" t="n">
        <x:f>'Inputs Raw'!$J$5</x:f>
        <x:v>1</x:v>
      </x:c>
      <x:c r="J8" s="41" t="n">
        <x:f>IF('Inputs Raw'!$K$5="","",'Inputs Raw'!$K$5/100)</x:f>
        <x:v>1</x:v>
      </x:c>
      <x:c r="K8" s="29" t="str">
        <x:f>'Inputs Raw'!$L$5</x:f>
        <x:v>High</x:v>
      </x:c>
      <x:c r="L8" s="31" t="n">
        <x:f>'Inputs Raw'!$N$5/100</x:f>
        <x:v>0.001054287290454164</x:v>
      </x:c>
      <x:c r="M8" s="31" t="n">
        <x:f>'Inputs Raw'!$P$5/100</x:f>
        <x:v>0.07853230639934694</x:v>
      </x:c>
      <x:c r="N8" s="31" t="n">
        <x:f>'Inputs Raw'!$Q$5/100</x:f>
        <x:v>0.022</x:v>
      </x:c>
      <x:c r="O8" s="31" t="n">
        <x:f>'Inputs Raw'!$R$5</x:f>
        <x:v>0.75</x:v>
      </x:c>
      <x:c r="P8" s="31" t="n">
        <x:f>'Inputs Raw'!$S$5</x:f>
        <x:v>0.5</x:v>
      </x:c>
      <x:c r="Q8" s="31" t="n">
        <x:f>'Inputs Raw'!$T$5</x:f>
        <x:v>0.5</x:v>
      </x:c>
      <x:c r="R8" s="31" t="n">
        <x:f>'Inputs Raw'!$U$5</x:f>
        <x:v>0.008</x:v>
      </x:c>
      <x:c r="S8" s="31" t="n">
        <x:f>'Inputs Raw'!$V$5</x:f>
        <x:v>0.03</x:v>
      </x:c>
      <x:c r="T8" s="31" t="n">
        <x:f>'Inputs Raw'!$W$5</x:f>
        <x:v>0.25</x:v>
      </x:c>
      <x:c r="U8" s="31" t="n">
        <x:f>'Inputs Raw'!$X$5</x:f>
        <x:v>0.5</x:v>
      </x:c>
      <x:c r="V8" s="31" t="n">
        <x:f>'Inputs Raw'!$AB$5</x:f>
        <x:v>0.6</x:v>
      </x:c>
      <x:c r="W8" s="49" t="n">
        <x:f>'Inputs Raw'!$AC$5</x:f>
        <x:v>0.6823300710551012</x:v>
      </x:c>
      <x:c r="X8" s="29" t="str">
        <x:f>IF(M8&gt;N8,"OK","FAIL")</x:f>
        <x:v>OK</x:v>
      </x:c>
      <x:c r="Y8" s="43" t="str">
        <x:f>'Inputs Raw'!$M$5</x:f>
        <x:v>Issuer facility-to-FEMA county match</x:v>
      </x:c>
      <x:c r="Z8" s="43" t="str">
        <x:f>'Inputs Raw'!$AE$5</x:f>
        <x:v>Modeled estimate using observed inputs + disclosed assumptions</x:v>
      </x:c>
    </x:row>
    <x:row r="9">
      <x:c r="A9" s="29" t="str">
        <x:f>'Inputs Raw'!$A$6</x:f>
        <x:v>DUK</x:v>
      </x:c>
      <x:c r="B9" s="29" t="str">
        <x:f>'Inputs Raw'!$B$6</x:f>
        <x:v>Utilities</x:v>
      </x:c>
      <x:c r="C9" s="33" t="n">
        <x:f>'Inputs Raw'!$D$6/1000000000</x:f>
        <x:v>1.5315567226890754</x:v>
      </x:c>
      <x:c r="D9" s="45" t="n">
        <x:f>'Inputs Raw'!$E$6/1000000</x:f>
        <x:v>79.756</x:v>
      </x:c>
      <x:c r="E9" s="45" t="n">
        <x:f>'Inputs Raw'!$F$6/1000000</x:f>
        <x:v>0.254</x:v>
      </x:c>
      <x:c r="F9" s="45" t="n">
        <x:f>'Inputs Raw'!$G$6/1000000</x:f>
        <x:v>27.6077</x:v>
      </x:c>
      <x:c r="G9" s="45" t="n">
        <x:f>'Inputs Raw'!$H$6/1000000000</x:f>
        <x:v>129.959</x:v>
      </x:c>
      <x:c r="H9" s="47" t="n">
        <x:f>'Inputs Raw'!$I$6</x:f>
        <x:v>49</x:v>
      </x:c>
      <x:c r="I9" s="47" t="n">
        <x:f>'Inputs Raw'!$J$6</x:f>
        <x:v>48</x:v>
      </x:c>
      <x:c r="J9" s="41" t="n">
        <x:f>IF('Inputs Raw'!$K$6="","",'Inputs Raw'!$K$6/100)</x:f>
        <x:v>0.9795918367346939</x:v>
      </x:c>
      <x:c r="K9" s="29" t="str">
        <x:f>'Inputs Raw'!$L$6</x:f>
        <x:v>High</x:v>
      </x:c>
      <x:c r="L9" s="31" t="n">
        <x:f>'Inputs Raw'!$N$6/100</x:f>
        <x:v>0.001756599555504602</x:v>
      </x:c>
      <x:c r="M9" s="31" t="n">
        <x:f>'Inputs Raw'!$P$6/100</x:f>
        <x:v>0.05116136979477691</x:v>
      </x:c>
      <x:c r="N9" s="31" t="n">
        <x:f>'Inputs Raw'!$Q$6/100</x:f>
        <x:v>0.02</x:v>
      </x:c>
      <x:c r="O9" s="31" t="n">
        <x:f>'Inputs Raw'!$R$6</x:f>
        <x:v>0.75</x:v>
      </x:c>
      <x:c r="P9" s="31" t="n">
        <x:f>'Inputs Raw'!$S$6</x:f>
        <x:v>0.5</x:v>
      </x:c>
      <x:c r="Q9" s="31" t="n">
        <x:f>'Inputs Raw'!$T$6</x:f>
        <x:v>0.5</x:v>
      </x:c>
      <x:c r="R9" s="31" t="n">
        <x:f>'Inputs Raw'!$U$6</x:f>
        <x:v>0.005</x:v>
      </x:c>
      <x:c r="S9" s="31" t="n">
        <x:f>'Inputs Raw'!$V$6</x:f>
        <x:v>0.03</x:v>
      </x:c>
      <x:c r="T9" s="31" t="n">
        <x:f>'Inputs Raw'!$W$6</x:f>
        <x:v>0.65</x:v>
      </x:c>
      <x:c r="U9" s="31" t="n">
        <x:f>'Inputs Raw'!$X$6</x:f>
        <x:v>0.5</x:v>
      </x:c>
      <x:c r="V9" s="31" t="n">
        <x:f>'Inputs Raw'!$AB$6</x:f>
        <x:v>0.6</x:v>
      </x:c>
      <x:c r="W9" s="49" t="n">
        <x:f>'Inputs Raw'!$AC$6</x:f>
        <x:v>1.6373884833738848</x:v>
      </x:c>
      <x:c r="X9" s="29" t="str">
        <x:f>IF(M9&gt;N9,"OK","FAIL")</x:f>
        <x:v>OK</x:v>
      </x:c>
      <x:c r="Y9" s="43" t="str">
        <x:f>'Inputs Raw'!$M$6</x:f>
        <x:v>Issuer facility-to-FEMA county match</x:v>
      </x:c>
      <x:c r="Z9" s="43" t="str">
        <x:f>'Inputs Raw'!$AE$6</x:f>
        <x:v>Modeled estimate using observed inputs + disclosed assumptions</x:v>
      </x:c>
    </x:row>
    <x:row r="10">
      <x:c r="A10" s="29" t="str">
        <x:f>'Inputs Raw'!$A$7</x:f>
        <x:v>MSFT</x:v>
      </x:c>
      <x:c r="B10" s="29" t="str">
        <x:f>'Inputs Raw'!$B$7</x:f>
        <x:v>Technology</x:v>
      </x:c>
      <x:c r="C10" s="33" t="n">
        <x:f>'Inputs Raw'!$D$7/1000000000</x:f>
        <x:v>73.4770406964498</x:v>
      </x:c>
      <x:c r="D10" s="45" t="n">
        <x:f>'Inputs Raw'!$E$7/1000000</x:f>
        <x:v>0.14351</x:v>
      </x:c>
      <x:c r="E10" s="45" t="n">
        <x:f>'Inputs Raw'!$F$7/1000000</x:f>
        <x:v>0.25909</x:v>
      </x:c>
      <x:c r="F10" s="45" t="n">
        <x:f>'Inputs Raw'!$G$7/1000000</x:f>
        <x:v>15.14</x:v>
      </x:c>
      <x:c r="G10" s="45" t="n">
        <x:f>'Inputs Raw'!$H$7/1000000000</x:f>
        <x:v>261.126</x:v>
      </x:c>
      <x:c r="H10" s="47" t="n">
        <x:f>'Inputs Raw'!$I$7</x:f>
        <x:v>0</x:v>
      </x:c>
      <x:c r="I10" s="47" t="n">
        <x:f>'Inputs Raw'!$J$7</x:f>
        <x:v>0</x:v>
      </x:c>
      <x:c r="J10" s="41" t="str">
        <x:f>IF('Inputs Raw'!$K$7="","",'Inputs Raw'!$K$7/100)</x:f>
      </x:c>
      <x:c r="K10" s="29" t="str">
        <x:f>'Inputs Raw'!$L$7</x:f>
        <x:v>Unverified</x:v>
      </x:c>
      <x:c r="L10" s="31" t="n">
        <x:f>'Inputs Raw'!$N$7/100</x:f>
        <x:v>0.0018089619337783003</x:v>
      </x:c>
      <x:c r="M10" s="31" t="n">
        <x:f>'Inputs Raw'!$P$7/100</x:f>
        <x:v>0.09627276973766637</x:v>
      </x:c>
      <x:c r="N10" s="31" t="n">
        <x:f>'Inputs Raw'!$Q$7/100</x:f>
        <x:v>0.025</x:v>
      </x:c>
      <x:c r="O10" s="31" t="n">
        <x:f>'Inputs Raw'!$R$7</x:f>
        <x:v>0.75</x:v>
      </x:c>
      <x:c r="P10" s="31" t="n">
        <x:f>'Inputs Raw'!$S$7</x:f>
        <x:v>0.5</x:v>
      </x:c>
      <x:c r="Q10" s="31" t="n">
        <x:f>'Inputs Raw'!$T$7</x:f>
        <x:v>0.5</x:v>
      </x:c>
      <x:c r="R10" s="31" t="n">
        <x:f>'Inputs Raw'!$U$7</x:f>
        <x:v>0.02</x:v>
      </x:c>
      <x:c r="S10" s="31" t="n">
        <x:f>'Inputs Raw'!$V$7</x:f>
        <x:v>0.03</x:v>
      </x:c>
      <x:c r="T10" s="31" t="n">
        <x:f>'Inputs Raw'!$W$7</x:f>
        <x:v>0.1</x:v>
      </x:c>
      <x:c r="U10" s="31" t="n">
        <x:f>'Inputs Raw'!$X$7</x:f>
        <x:v>0.5</x:v>
      </x:c>
      <x:c r="V10" s="31" t="n">
        <x:f>'Inputs Raw'!$AB$7</x:f>
        <x:v>0.6</x:v>
      </x:c>
      <x:c r="W10" s="49" t="n">
        <x:f>'Inputs Raw'!$AC$7</x:f>
        <x:v>0.974074998898371</x:v>
      </x:c>
      <x:c r="X10" s="29" t="str">
        <x:f>IF(M10&gt;N10,"OK","FAIL")</x:f>
        <x:v>OK</x:v>
      </x:c>
      <x:c r="Y10" s="43" t="str">
        <x:f>'Inputs Raw'!$M$7</x:f>
        <x:v>Proxy fallback; no issuer facilities in governed match file</x:v>
      </x:c>
      <x:c r="Z10" s="43" t="str">
        <x:f>'Inputs Raw'!$AE$7</x:f>
        <x:v>Modeled estimate using observed inputs + disclosed assumptions</x:v>
      </x:c>
    </x:row>
    <x:row r="11">
      <x:c r="A11" s="29" t="str">
        <x:f>'Inputs Raw'!$A$8</x:f>
        <x:v>NEE</x:v>
      </x:c>
      <x:c r="B11" s="29" t="str">
        <x:f>'Inputs Raw'!$B$8</x:f>
        <x:v>Utilities</x:v>
      </x:c>
      <x:c r="C11" s="33" t="n">
        <x:f>'Inputs Raw'!$D$8/1000000000</x:f>
        <x:v>9.87944</x:v>
      </x:c>
      <x:c r="D11" s="45" t="n">
        <x:f>'Inputs Raw'!$E$8/1000000</x:f>
        <x:v>43.40991637</x:v>
      </x:c>
      <x:c r="E11" s="45" t="n">
        <x:f>'Inputs Raw'!$F$8/1000000</x:f>
        <x:v>0.025603</x:v>
      </x:c>
      <x:c r="F11" s="45" t="n">
        <x:f>'Inputs Raw'!$G$8/1000000</x:f>
        <x:v>0.06522295</x:v>
      </x:c>
      <x:c r="G11" s="45" t="n">
        <x:f>'Inputs Raw'!$H$8/1000000000</x:f>
        <x:v>156.197</x:v>
      </x:c>
      <x:c r="H11" s="47" t="n">
        <x:f>'Inputs Raw'!$I$8</x:f>
        <x:v>27</x:v>
      </x:c>
      <x:c r="I11" s="47" t="n">
        <x:f>'Inputs Raw'!$J$8</x:f>
        <x:v>23</x:v>
      </x:c>
      <x:c r="J11" s="41" t="n">
        <x:f>IF('Inputs Raw'!$K$8="","",'Inputs Raw'!$K$8/100)</x:f>
        <x:v>0.8518518518518519</x:v>
      </x:c>
      <x:c r="K11" s="29" t="str">
        <x:f>'Inputs Raw'!$L$8</x:f>
        <x:v>High</x:v>
      </x:c>
      <x:c r="L11" s="31" t="n">
        <x:f>'Inputs Raw'!$N$8/100</x:f>
        <x:v>0.0025009029941509913</x:v>
      </x:c>
      <x:c r="M11" s="31" t="n">
        <x:f>'Inputs Raw'!$P$8/100</x:f>
        <x:v>0.06849686675720218</x:v>
      </x:c>
      <x:c r="N11" s="31" t="n">
        <x:f>'Inputs Raw'!$Q$8/100</x:f>
        <x:v>0.02</x:v>
      </x:c>
      <x:c r="O11" s="31" t="n">
        <x:f>'Inputs Raw'!$R$8</x:f>
        <x:v>0.75</x:v>
      </x:c>
      <x:c r="P11" s="31" t="n">
        <x:f>'Inputs Raw'!$S$8</x:f>
        <x:v>0.5</x:v>
      </x:c>
      <x:c r="Q11" s="31" t="n">
        <x:f>'Inputs Raw'!$T$8</x:f>
        <x:v>0.5</x:v>
      </x:c>
      <x:c r="R11" s="31" t="n">
        <x:f>'Inputs Raw'!$U$8</x:f>
        <x:v>0.005</x:v>
      </x:c>
      <x:c r="S11" s="31" t="n">
        <x:f>'Inputs Raw'!$V$8</x:f>
        <x:v>0.03</x:v>
      </x:c>
      <x:c r="T11" s="31" t="n">
        <x:f>'Inputs Raw'!$W$8</x:f>
        <x:v>0.65</x:v>
      </x:c>
      <x:c r="U11" s="31" t="n">
        <x:f>'Inputs Raw'!$X$8</x:f>
        <x:v>0.5</x:v>
      </x:c>
      <x:c r="V11" s="31" t="n">
        <x:f>'Inputs Raw'!$AB$8</x:f>
        <x:v>0.6</x:v>
      </x:c>
      <x:c r="W11" s="49" t="n">
        <x:f>'Inputs Raw'!$AC$8</x:f>
        <x:v>2</x:v>
      </x:c>
      <x:c r="X11" s="29" t="str">
        <x:f>IF(M11&gt;N11,"OK","FAIL")</x:f>
        <x:v>OK</x:v>
      </x:c>
      <x:c r="Y11" s="43" t="str">
        <x:f>'Inputs Raw'!$M$8</x:f>
        <x:v>Issuer facility-to-FEMA county match</x:v>
      </x:c>
      <x:c r="Z11" s="43" t="str">
        <x:f>'Inputs Raw'!$AE$8</x:f>
        <x:v>Modeled estimate using observed inputs + disclosed assumptions</x:v>
      </x:c>
    </x:row>
    <x:row r="12">
      <x:c r="A12" s="29" t="str">
        <x:f>'Inputs Raw'!$A$9</x:f>
        <x:v>XOM</x:v>
      </x:c>
      <x:c r="B12" s="29" t="str">
        <x:f>'Inputs Raw'!$B$9</x:f>
        <x:v>Energy</x:v>
      </x:c>
      <x:c r="C12" s="33" t="n">
        <x:f>'Inputs Raw'!$D$9/1000000000</x:f>
        <x:v>24.046905786565862</x:v>
      </x:c>
      <x:c r="D12" s="45" t="n">
        <x:f>'Inputs Raw'!$E$9/1000000</x:f>
        <x:v>104</x:v>
      </x:c>
      <x:c r="E12" s="45" t="n">
        <x:f>'Inputs Raw'!$F$9/1000000</x:f>
        <x:v>7</x:v>
      </x:c>
      <x:c r="F12" s="45" t="n">
        <x:f>'Inputs Raw'!$G$9/1000000</x:f>
        <x:v>630</x:v>
      </x:c>
      <x:c r="G12" s="45" t="n">
        <x:f>'Inputs Raw'!$H$9/1000000000</x:f>
        <x:v>299.373</x:v>
      </x:c>
      <x:c r="H12" s="47" t="n">
        <x:f>'Inputs Raw'!$I$9</x:f>
        <x:v>68</x:v>
      </x:c>
      <x:c r="I12" s="47" t="n">
        <x:f>'Inputs Raw'!$J$9</x:f>
        <x:v>49</x:v>
      </x:c>
      <x:c r="J12" s="41" t="n">
        <x:f>IF('Inputs Raw'!$K$9="","",'Inputs Raw'!$K$9/100)</x:f>
        <x:v>0.7205882352941176</x:v>
      </x:c>
      <x:c r="K12" s="29" t="str">
        <x:f>'Inputs Raw'!$L$9</x:f>
        <x:v>Medium</x:v>
      </x:c>
      <x:c r="L12" s="31" t="n">
        <x:f>'Inputs Raw'!$N$9/100</x:f>
        <x:v>0.0018613243120519987</x:v>
      </x:c>
      <x:c r="M12" s="31" t="n">
        <x:f>'Inputs Raw'!$P$9/100</x:f>
        <x:v>0.054180089757394995</x:v>
      </x:c>
      <x:c r="N12" s="31" t="n">
        <x:f>'Inputs Raw'!$Q$9/100</x:f>
        <x:v>0.018</x:v>
      </x:c>
      <x:c r="O12" s="31" t="n">
        <x:f>'Inputs Raw'!$R$9</x:f>
        <x:v>0.75</x:v>
      </x:c>
      <x:c r="P12" s="31" t="n">
        <x:f>'Inputs Raw'!$S$9</x:f>
        <x:v>0.5</x:v>
      </x:c>
      <x:c r="Q12" s="31" t="n">
        <x:f>'Inputs Raw'!$T$9</x:f>
        <x:v>0.5</x:v>
      </x:c>
      <x:c r="R12" s="31" t="n">
        <x:f>'Inputs Raw'!$U$9</x:f>
        <x:v>0.003</x:v>
      </x:c>
      <x:c r="S12" s="31" t="n">
        <x:f>'Inputs Raw'!$V$9</x:f>
        <x:v>0.03</x:v>
      </x:c>
      <x:c r="T12" s="31" t="n">
        <x:f>'Inputs Raw'!$W$9</x:f>
        <x:v>0.45</x:v>
      </x:c>
      <x:c r="U12" s="31" t="n">
        <x:f>'Inputs Raw'!$X$9</x:f>
        <x:v>0.5</x:v>
      </x:c>
      <x:c r="V12" s="31" t="n">
        <x:f>'Inputs Raw'!$AB$9</x:f>
        <x:v>0.6</x:v>
      </x:c>
      <x:c r="W12" s="49" t="n">
        <x:f>'Inputs Raw'!$AC$9</x:f>
        <x:v>1.0456609582451413</x:v>
      </x:c>
      <x:c r="X12" s="29" t="str">
        <x:f>IF(M12&gt;N12,"OK","FAIL")</x:f>
        <x:v>OK</x:v>
      </x:c>
      <x:c r="Y12" s="43" t="str">
        <x:f>'Inputs Raw'!$M$9</x:f>
        <x:v>Issuer facility-to-FEMA county match</x:v>
      </x:c>
      <x:c r="Z12" s="43" t="str">
        <x:f>'Inputs Raw'!$AE$9</x:f>
        <x:v>Modeled estimate using observed inputs + disclosed assumptions</x:v>
      </x:c>
    </x:row>
  </x:sheetData>
  <x:mergeCells>
    <x:mergeCell ref="A1:Z1"/>
    <x:mergeCell ref="A2:Z2"/>
  </x:mergeCells>
  <x:conditionalFormatting sqref="X5:X12">
    <x:cfRule type="containsText" dxfId="7" priority="1" operator="containsText" text="OK"/>
    <x:cfRule type="containsText" dxfId="8" priority="2" operator="containsText" text="RANKABLE"/>
    <x:cfRule type="containsText" dxfId="9" priority="3" operator="containsText" text="CAUTION"/>
    <x:cfRule type="containsText" dxfId="10" priority="4" operator="containsText" text="WARN"/>
    <x:cfRule type="containsText" dxfId="11" priority="5" operator="containsText" text="EXCLUDE"/>
    <x:cfRule type="containsText" dxfId="12" priority="6" operator="containsText" text="FAIL"/>
    <x:cfRule type="containsText" dxfId="13" priority="7" operator="containsText" text="LIMITED"/>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13" hidden="0" customWidth="1"/>
    <x:col min="3" max="3" width="38" hidden="0" customWidth="1"/>
    <x:col min="4" max="4" width="56" hidden="0" customWidth="1"/>
    <x:col min="5" max="5" width="36" hidden="0" customWidth="1"/>
    <x:col min="6" max="6" width="38" hidden="0" customWidth="1"/>
  </x:cols>
  <x:sheetData>
    <x:row r="1" ht="30" customHeight="1">
      <x:c r="A1" s="18" t="str">
        <x:v>Methodology Review - what the workflow PDF does and does not contain</x:v>
      </x:c>
      <x:c r="B1" s="18" t="str">
        <x:v>Methodology Review - what the workflow PDF does and does not contain</x:v>
      </x:c>
      <x:c r="C1" s="18" t="str">
        <x:v>Methodology Review - what the workflow PDF does and does not contain</x:v>
      </x:c>
      <x:c r="D1" s="18" t="str">
        <x:v>Methodology Review - what the workflow PDF does and does not contain</x:v>
      </x:c>
      <x:c r="E1" s="18" t="str">
        <x:v>Methodology Review - what the workflow PDF does and does not contain</x:v>
      </x:c>
      <x:c r="F1" s="18" t="str">
        <x:v>Methodology Review - what the workflow PDF does and does not contain</x:v>
      </x:c>
    </x:row>
    <x:row r="2" ht="28" customHeight="1">
      <x:c r="A2" s="22" t="str">
        <x:v>WeChat Climate_Model_Calculation_Workflow.pdf is byte-for-byte identical to the previously reviewed six-page PDF. SHA-256: f082a9c468b5193683e95d8dd00156afe0b5d8fd9d3970055c426bd5f5244bf2</x:v>
      </x:c>
      <x:c r="B2" s="22" t="str">
        <x:v>WeChat Climate_Model_Calculation_Workflow.pdf is byte-for-byte identical to the previously reviewed six-page PDF. SHA-256: f082a9c468b5193683e95d8dd00156afe0b5d8fd9d3970055c426bd5f5244bf2</x:v>
      </x:c>
      <x:c r="C2" s="22" t="str">
        <x:v>WeChat Climate_Model_Calculation_Workflow.pdf is byte-for-byte identical to the previously reviewed six-page PDF. SHA-256: f082a9c468b5193683e95d8dd00156afe0b5d8fd9d3970055c426bd5f5244bf2</x:v>
      </x:c>
      <x:c r="D2" s="22" t="str">
        <x:v>WeChat Climate_Model_Calculation_Workflow.pdf is byte-for-byte identical to the previously reviewed six-page PDF. SHA-256: f082a9c468b5193683e95d8dd00156afe0b5d8fd9d3970055c426bd5f5244bf2</x:v>
      </x:c>
      <x:c r="E2" s="22" t="str">
        <x:v>WeChat Climate_Model_Calculation_Workflow.pdf is byte-for-byte identical to the previously reviewed six-page PDF. SHA-256: f082a9c468b5193683e95d8dd00156afe0b5d8fd9d3970055c426bd5f5244bf2</x:v>
      </x:c>
      <x:c r="F2" s="22" t="str">
        <x:v>WeChat Climate_Model_Calculation_Workflow.pdf is byte-for-byte identical to the previously reviewed six-page PDF. SHA-256: f082a9c468b5193683e95d8dd00156afe0b5d8fd9d3970055c426bd5f5244bf2</x:v>
      </x:c>
    </x:row>
    <x:row r="4">
      <x:c r="A4" s="50" t="str">
        <x:v>ATTACHMENT CHECK</x:v>
      </x:c>
      <x:c r="B4" s="50" t="str">
        <x:v>ATTACHMENT CHECK</x:v>
      </x:c>
      <x:c r="C4" s="53" t="str">
        <x:v>EXACT DUPLICATE — 96,877 bytes, 6 pages, no embedded files or JavaScript</x:v>
      </x:c>
      <x:c r="D4" s="53" t="str">
        <x:v>EXACT DUPLICATE — 96,877 bytes, 6 pages, no embedded files or JavaScript</x:v>
      </x:c>
      <x:c r="E4" s="53" t="str">
        <x:v>EXACT DUPLICATE — 96,877 bytes, 6 pages, no embedded files or JavaScript</x:v>
      </x:c>
      <x:c r="F4" s="53" t="str">
        <x:v>EXACT DUPLICATE — 96,877 bytes, 6 pages, no embedded files or JavaScript</x:v>
      </x:c>
    </x:row>
    <x:row r="5">
      <x:c r="A5" s="55" t="str">
        <x:v>SHA-256</x:v>
      </x:c>
      <x:c r="B5" s="55" t="str">
        <x:v>SHA-256</x:v>
      </x:c>
      <x:c r="C5" s="56" t="str">
        <x:v>f082a9c468b5193683e95d8dd00156afe0b5d8fd9d3970055c426bd5f5244bf2</x:v>
      </x:c>
      <x:c r="D5" s="56" t="str">
        <x:v>f082a9c468b5193683e95d8dd00156afe0b5d8fd9d3970055c426bd5f5244bf2</x:v>
      </x:c>
      <x:c r="E5" s="56" t="str">
        <x:v>f082a9c468b5193683e95d8dd00156afe0b5d8fd9d3970055c426bd5f5244bf2</x:v>
      </x:c>
      <x:c r="F5" s="56" t="str">
        <x:v>f082a9c468b5193683e95d8dd00156afe0b5d8fd9d3970055c426bd5f5244bf2</x:v>
      </x:c>
    </x:row>
    <x:row r="7">
      <x:c r="A7" s="7" t="str">
        <x:v>Area</x:v>
      </x:c>
      <x:c r="B7" s="7" t="str">
        <x:v>PDF status</x:v>
      </x:c>
      <x:c r="C7" s="7" t="str">
        <x:v>What the PDF provides</x:v>
      </x:c>
      <x:c r="D7" s="7" t="str">
        <x:v>What is still missing / problematic</x:v>
      </x:c>
      <x:c r="E7" s="7" t="str">
        <x:v>v2 treatment</x:v>
      </x:c>
      <x:c r="F7" s="7" t="str">
        <x:v>Decision impact</x:v>
      </x:c>
    </x:row>
    <x:row r="8" ht="58" customHeight="1">
      <x:c r="A8" s="57" t="str">
        <x:v>Original source code</x:v>
      </x:c>
      <x:c r="B8" s="61" t="str">
        <x:v>NO</x:v>
      </x:c>
      <x:c r="C8" s="57" t="str">
        <x:v>Narrative equations and worked tables only.</x:v>
      </x:c>
      <x:c r="D8" s="57" t="str">
        <x:v>No executable code, spreadsheet engine, embedded file or script.</x:v>
      </x:c>
      <x:c r="E8" s="57" t="str">
        <x:v>No engine formula is overwritten.</x:v>
      </x:c>
      <x:c r="F8" s="57" t="str">
        <x:v>Underlying calculations remain unauditable.</x:v>
      </x:c>
    </x:row>
    <x:row r="9" ht="58" customHeight="1">
      <x:c r="A9" s="58" t="str">
        <x:v>Annual scenario / FCFF path</x:v>
      </x:c>
      <x:c r="B9" s="62" t="str">
        <x:v>NO</x:v>
      </x:c>
      <x:c r="C9" s="58" t="str">
        <x:v>2025 baseline plus selected 2050 pressure and terminal values.</x:v>
      </x:c>
      <x:c r="D9" s="58" t="str">
        <x:v>No annual driver table, interpolation, event timing or yearly FCFF series despite a claim of complete annual paths.</x:v>
      </x:c>
      <x:c r="E9" s="58" t="str">
        <x:v>DCF Audit tests the disclosed endpoints only.</x:v>
      </x:c>
      <x:c r="F9" s="58" t="str">
        <x:v>EV timing cannot be independently rebuilt.</x:v>
      </x:c>
    </x:row>
    <x:row r="10" ht="58" customHeight="1">
      <x:c r="A10" s="58" t="str">
        <x:v>Unlevered FCFF bridge</x:v>
      </x:c>
      <x:c r="B10" s="62" t="str">
        <x:v>PARTIAL</x:v>
      </x:c>
      <x:c r="C10" s="58" t="str">
        <x:v>CFO minus CapEx, reference growth and three risk deductions.</x:v>
      </x:c>
      <x:c r="D10" s="58" t="str">
        <x:v>Missing EBIT/NOPAT, cash tax, D&amp;A, change in NWC and after-tax interest adjustment; CFO−CapEx is not a clean unlevered FCFF bridge.</x:v>
      </x:c>
      <x:c r="E10" s="58" t="str">
        <x:v>Explicit limitation and consistency flag.</x:v>
      </x:c>
      <x:c r="F10" s="58" t="str">
        <x:v>Enterprise value basis remains provisional.</x:v>
      </x:c>
    </x:row>
    <x:row r="11" ht="58" customHeight="1">
      <x:c r="A11" s="58" t="str">
        <x:v>Transition-risk method</x:v>
      </x:c>
      <x:c r="B11" s="62" t="str">
        <x:v>PARTIAL</x:v>
      </x:c>
      <x:c r="C11" s="58" t="str">
        <x:v>Carbon, energy and transition-CapEx equations plus a DUK 2050 example.</x:v>
      </x:c>
      <x:c r="D11" s="58" t="str">
        <x:v>Pass-through may be applied twice; target emissions × target price versus reference emissions × reference price is not disclosed.</x:v>
      </x:c>
      <x:c r="E11" s="58" t="str">
        <x:v>Preserved as source output; flagged for engine repair.</x:v>
      </x:c>
      <x:c r="F11" s="58" t="str">
        <x:v>Transition attribution is illustrative.</x:v>
      </x:c>
    </x:row>
    <x:row r="12" ht="58" customHeight="1">
      <x:c r="A12" s="58" t="str">
        <x:v>Physical-risk method</x:v>
      </x:c>
      <x:c r="B12" s="62" t="str">
        <x:v>PARTIAL</x:v>
      </x:c>
      <x:c r="C12" s="58" t="str">
        <x:v>Acute and chronic loss equations plus a 2050 example.</x:v>
      </x:c>
      <x:c r="D12" s="58" t="str">
        <x:v>Event probability/timing, insurance, repair CapEx and exposure evolution are not fully specified.</x:v>
      </x:c>
      <x:c r="E12" s="58" t="str">
        <x:v>Proxy and low-coverage observations are gated.</x:v>
      </x:c>
      <x:c r="F12" s="58" t="str">
        <x:v>Some issuer rankings are excluded or cautioned.</x:v>
      </x:c>
    </x:row>
    <x:row r="13" ht="58" customHeight="1">
      <x:c r="A13" s="58" t="str">
        <x:v>Macro / supply method</x:v>
      </x:c>
      <x:c r="B13" s="62" t="str">
        <x:v>PARTIAL</x:v>
      </x:c>
      <x:c r="C13" s="58" t="str">
        <x:v>GDP plus supply shock mapping and issuer-scale formula.</x:v>
      </x:c>
      <x:c r="D13" s="58" t="str">
        <x:v>Direct channels may overlap with macro effects; sign convention and residualization are not documented.</x:v>
      </x:c>
      <x:c r="E13" s="58" t="str">
        <x:v>Adds CapEx/CFO consistency test.</x:v>
      </x:c>
      <x:c r="F13" s="58" t="str">
        <x:v>Channel contributions are not fully causal.</x:v>
      </x:c>
    </x:row>
    <x:row r="14" ht="58" customHeight="1">
      <x:c r="A14" s="58" t="str">
        <x:v>DCF / terminal value</x:v>
      </x:c>
      <x:c r="B14" s="62" t="str">
        <x:v>PARTIAL</x:v>
      </x:c>
      <x:c r="C14" s="58" t="str">
        <x:v>Reference and target EV, WACC and terminal growth outputs.</x:v>
      </x:c>
      <x:c r="D14" s="58" t="str">
        <x:v>No independent operating forecast or discount schedule; disclosed endpoints reproduce a flat growth identity.</x:v>
      </x:c>
      <x:c r="E14" s="58" t="str">
        <x:v>New DCF Audit exposes both identities.</x:v>
      </x:c>
      <x:c r="F14" s="58" t="str">
        <x:v>Model is sensitivity analysis, not audited valuation.</x:v>
      </x:c>
    </x:row>
    <x:row r="15" ht="58" customHeight="1">
      <x:c r="A15" s="58" t="str">
        <x:v>EV-to-equity bridge</x:v>
      </x:c>
      <x:c r="B15" s="62" t="str">
        <x:v>NO</x:v>
      </x:c>
      <x:c r="C15" s="58" t="str">
        <x:v>Enterprise values only.</x:v>
      </x:c>
      <x:c r="D15" s="58" t="str">
        <x:v>No net debt, cash, leases, pensions, minority interest, non-operating assets or shares.</x:v>
      </x:c>
      <x:c r="E15" s="58" t="str">
        <x:v>Outputs stay at enterprise-value level.</x:v>
      </x:c>
      <x:c r="F15" s="58" t="str">
        <x:v>No equity value, price target or per-share impact.</x:v>
      </x:c>
    </x:row>
    <x:row r="18" ht="28" customHeight="1">
      <x:c r="A18"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B18"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C18"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D18"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E18"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F18"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row>
    <x:row r="19" ht="28" customHeight="1">
      <x:c r="A19"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B19"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C19"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D19"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E19"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c r="F19" s="66" t="str">
        <x:v>Conclusion: the attachment confirms the intended method and one 2050 worked example, but it does not supply the four missing items needed to rebuild the model engine. v2 therefore strengthens the audit layer without inventing unsupported annual forecasts or equity-bridge inputs.</x:v>
      </x:c>
    </x:row>
  </x:sheetData>
  <x:mergeCells>
    <x:mergeCell ref="A1:F1"/>
    <x:mergeCell ref="A2:F2"/>
    <x:mergeCell ref="A4:B4"/>
    <x:mergeCell ref="C4:F4"/>
    <x:mergeCell ref="A5:B5"/>
    <x:mergeCell ref="C5:F5"/>
    <x:mergeCell ref="A18:F19"/>
  </x:mergeCells>
  <x:conditionalFormatting sqref="B8:B15">
    <x:cfRule type="containsText" dxfId="14" priority="1" operator="containsText" text="NO"/>
    <x:cfRule type="containsText" dxfId="15" priority="2" operator="containsText" text="PARTIAL"/>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0" hidden="0" customWidth="1"/>
    <x:col min="4" max="4" width="14" hidden="0" customWidth="1"/>
    <x:col min="5" max="5" width="16" hidden="0" customWidth="1"/>
    <x:col min="6" max="6" width="18" hidden="0" customWidth="1"/>
    <x:col min="7" max="7" width="16" hidden="0" customWidth="1"/>
    <x:col min="8" max="8" width="18" hidden="0" customWidth="1"/>
    <x:col min="9" max="9" width="20" hidden="0" customWidth="1"/>
    <x:col min="10" max="10" width="18" hidden="0" customWidth="1"/>
    <x:col min="11" max="11" width="16" hidden="0" customWidth="1"/>
    <x:col min="12" max="12" width="18" hidden="0" customWidth="1"/>
    <x:col min="13" max="13" width="20" hidden="0" customWidth="1"/>
    <x:col min="14" max="14" width="20" hidden="0" customWidth="1"/>
    <x:col min="15" max="15" width="56" hidden="0" customWidth="1"/>
  </x:cols>
  <x:sheetData>
    <x:row r="1" ht="30" customHeight="1">
      <x:c r="A1" s="18" t="str">
        <x:v>DCF Audit - endpoint identity and FCFF consistency</x:v>
      </x:c>
      <x:c r="B1" s="18" t="str">
        <x:v>DCF Audit - endpoint identity and FCFF consistency</x:v>
      </x:c>
      <x:c r="C1" s="18" t="str">
        <x:v>DCF Audit - endpoint identity and FCFF consistency</x:v>
      </x:c>
      <x:c r="D1" s="18" t="str">
        <x:v>DCF Audit - endpoint identity and FCFF consistency</x:v>
      </x:c>
      <x:c r="E1" s="18" t="str">
        <x:v>DCF Audit - endpoint identity and FCFF consistency</x:v>
      </x:c>
      <x:c r="F1" s="18" t="str">
        <x:v>DCF Audit - endpoint identity and FCFF consistency</x:v>
      </x:c>
      <x:c r="G1" s="18" t="str">
        <x:v>DCF Audit - endpoint identity and FCFF consistency</x:v>
      </x:c>
      <x:c r="H1" s="18" t="str">
        <x:v>DCF Audit - endpoint identity and FCFF consistency</x:v>
      </x:c>
      <x:c r="I1" s="18" t="str">
        <x:v>DCF Audit - endpoint identity and FCFF consistency</x:v>
      </x:c>
      <x:c r="J1" s="18" t="str">
        <x:v>DCF Audit - endpoint identity and FCFF consistency</x:v>
      </x:c>
      <x:c r="K1" s="18" t="str">
        <x:v>DCF Audit - endpoint identity and FCFF consistency</x:v>
      </x:c>
      <x:c r="L1" s="18" t="str">
        <x:v>DCF Audit - endpoint identity and FCFF consistency</x:v>
      </x:c>
      <x:c r="M1" s="18" t="str">
        <x:v>DCF Audit - endpoint identity and FCFF consistency</x:v>
      </x:c>
      <x:c r="N1" s="18" t="str">
        <x:v>DCF Audit - endpoint identity and FCFF consistency</x:v>
      </x:c>
      <x:c r="O1" s="18" t="str">
        <x:v>DCF Audit - endpoint identity and FCFF consistency</x:v>
      </x:c>
    </x:row>
    <x:row r="2" ht="28" customHeight="1">
      <x:c r="A2" s="22" t="str">
        <x:v>Reference case uses Current Policies versus baseline, Base assumption. Gaps close to zero show that both reference EV and terminal FCFF are mechanically determined by normalized FCFF and one constant g.</x:v>
      </x:c>
      <x:c r="B2" s="22" t="str">
        <x:v>Reference case uses Current Policies versus baseline, Base assumption. Gaps close to zero show that both reference EV and terminal FCFF are mechanically determined by normalized FCFF and one constant g.</x:v>
      </x:c>
      <x:c r="C2" s="22" t="str">
        <x:v>Reference case uses Current Policies versus baseline, Base assumption. Gaps close to zero show that both reference EV and terminal FCFF are mechanically determined by normalized FCFF and one constant g.</x:v>
      </x:c>
      <x:c r="D2" s="22" t="str">
        <x:v>Reference case uses Current Policies versus baseline, Base assumption. Gaps close to zero show that both reference EV and terminal FCFF are mechanically determined by normalized FCFF and one constant g.</x:v>
      </x:c>
      <x:c r="E2" s="22" t="str">
        <x:v>Reference case uses Current Policies versus baseline, Base assumption. Gaps close to zero show that both reference EV and terminal FCFF are mechanically determined by normalized FCFF and one constant g.</x:v>
      </x:c>
      <x:c r="F2" s="22" t="str">
        <x:v>Reference case uses Current Policies versus baseline, Base assumption. Gaps close to zero show that both reference EV and terminal FCFF are mechanically determined by normalized FCFF and one constant g.</x:v>
      </x:c>
      <x:c r="G2" s="22" t="str">
        <x:v>Reference case uses Current Policies versus baseline, Base assumption. Gaps close to zero show that both reference EV and terminal FCFF are mechanically determined by normalized FCFF and one constant g.</x:v>
      </x:c>
      <x:c r="H2" s="22" t="str">
        <x:v>Reference case uses Current Policies versus baseline, Base assumption. Gaps close to zero show that both reference EV and terminal FCFF are mechanically determined by normalized FCFF and one constant g.</x:v>
      </x:c>
      <x:c r="I2" s="22" t="str">
        <x:v>Reference case uses Current Policies versus baseline, Base assumption. Gaps close to zero show that both reference EV and terminal FCFF are mechanically determined by normalized FCFF and one constant g.</x:v>
      </x:c>
      <x:c r="J2" s="22" t="str">
        <x:v>Reference case uses Current Policies versus baseline, Base assumption. Gaps close to zero show that both reference EV and terminal FCFF are mechanically determined by normalized FCFF and one constant g.</x:v>
      </x:c>
      <x:c r="K2" s="22" t="str">
        <x:v>Reference case uses Current Policies versus baseline, Base assumption. Gaps close to zero show that both reference EV and terminal FCFF are mechanically determined by normalized FCFF and one constant g.</x:v>
      </x:c>
      <x:c r="L2" s="22" t="str">
        <x:v>Reference case uses Current Policies versus baseline, Base assumption. Gaps close to zero show that both reference EV and terminal FCFF are mechanically determined by normalized FCFF and one constant g.</x:v>
      </x:c>
      <x:c r="M2" s="22" t="str">
        <x:v>Reference case uses Current Policies versus baseline, Base assumption. Gaps close to zero show that both reference EV and terminal FCFF are mechanically determined by normalized FCFF and one constant g.</x:v>
      </x:c>
      <x:c r="N2" s="22" t="str">
        <x:v>Reference case uses Current Policies versus baseline, Base assumption. Gaps close to zero show that both reference EV and terminal FCFF are mechanically determined by normalized FCFF and one constant g.</x:v>
      </x:c>
      <x:c r="O2" s="22" t="str">
        <x:v>Reference case uses Current Policies versus baseline, Base assumption. Gaps close to zero show that both reference EV and terminal FCFF are mechanically determined by normalized FCFF and one constant g.</x:v>
      </x:c>
    </x:row>
    <x:row r="4">
      <x:c r="A4" s="7" t="str">
        <x:v>Ticker</x:v>
      </x:c>
      <x:c r="B4" s="7" t="str">
        <x:v>Normalized FCFF ($bn)</x:v>
      </x:c>
      <x:c r="C4" s="7" t="str">
        <x:v>WACC</x:v>
      </x:c>
      <x:c r="D4" s="7" t="str">
        <x:v>Terminal growth</x:v>
      </x:c>
      <x:c r="E4" s="7" t="str">
        <x:v>Reported ref EV ($bn)</x:v>
      </x:c>
      <x:c r="F4" s="7" t="str">
        <x:v>Gordon-implied EV ($bn)</x:v>
      </x:c>
      <x:c r="G4" s="7" t="str">
        <x:v>EV identity gap ($bn)</x:v>
      </x:c>
      <x:c r="H4" s="7" t="str">
        <x:v>Reported 2050 FCFF ($bn)</x:v>
      </x:c>
      <x:c r="I4" s="7" t="str">
        <x:v>25-year g-implied FCFF ($bn)</x:v>
      </x:c>
      <x:c r="J4" s="7" t="str">
        <x:v>Terminal identity gap ($bn)</x:v>
      </x:c>
      <x:c r="K4" s="7" t="str">
        <x:v>Macro dependency scale</x:v>
      </x:c>
      <x:c r="L4" s="7" t="str">
        <x:v>Implied / minimum CapEx÷CFO</x:v>
      </x:c>
      <x:c r="M4" s="7" t="str">
        <x:v>FCFF / CapEx consistency</x:v>
      </x:c>
      <x:c r="N4" s="7" t="str">
        <x:v>Forecast-path signal</x:v>
      </x:c>
      <x:c r="O4" s="7" t="str">
        <x:v>Interpretation</x:v>
      </x:c>
    </x:row>
    <x:row r="5" ht="44" customHeight="1">
      <x:c r="A5" s="28" t="str">
        <x:f>'Inputs Raw'!$A$2</x:f>
        <x:v>AAPL</x:v>
      </x:c>
      <x:c r="B5" s="32" t="n">
        <x:f>'Inputs Raw'!$D$2/1000000000</x:f>
        <x:v>102.78446600931221</x:v>
      </x:c>
      <x:c r="C5" s="30" t="n">
        <x:f>'Inputs Raw'!$P$2/100</x:f>
        <x:v>0.09468635607765986</x:v>
      </x:c>
      <x:c r="D5" s="30" t="n">
        <x:f>'Inputs Raw'!$Q$2/100</x:f>
        <x:v>0.025</x:v>
      </x:c>
      <x:c r="E5" s="36" t="n">
        <x:f>'Results Raw'!$N$3/1000000000</x:f>
        <x:v>1511.8322091936654</x:v>
      </x:c>
      <x:c r="F5" s="36" t="n">
        <x:f>B5*(1+D5)/(C5-D5)</x:f>
        <x:v>1511.8322091936668</x:v>
      </x:c>
      <x:c r="G5" s="67" t="n">
        <x:f>ABS(E5-F5)</x:f>
        <x:v>1.3642420526593924e-12</x:v>
      </x:c>
      <x:c r="H5" s="36" t="n">
        <x:f>'Results Raw'!$P$3/1000000000</x:f>
        <x:v>190.55665415715816</x:v>
      </x:c>
      <x:c r="I5" s="36" t="n">
        <x:f>B5*(1+D5)^25</x:f>
        <x:v>190.5566541571582</x:v>
      </x:c>
      <x:c r="J5" s="67" t="n">
        <x:f>ABS(H5-I5)</x:f>
        <x:v>2.842170943040401e-14</x:v>
      </x:c>
      <x:c r="K5" s="48" t="n">
        <x:f>'Inputs Raw'!$AC$2</x:f>
        <x:v>0.6140542867906926</x:v>
      </x:c>
      <x:c r="L5" s="40" t="n">
        <x:f>MAX(K5-0.5,0)</x:f>
        <x:v>0.11405428679069263</x:v>
      </x:c>
      <x:c r="M5" s="28" t="str">
        <x:f>IF(AND(B5&gt;0,L5&gt;100%),"WARN","OK")</x:f>
        <x:v>OK</x:v>
      </x:c>
      <x:c r="N5" s="28" t="str">
        <x:f>IF(AND(G5&lt;=0.001,J5&lt;=0.001),"FLAT g IDENTITY","REVIEW")</x:f>
        <x:v>FLAT g IDENTITY</x:v>
      </x:c>
      <x:c r="O5" s="42" t="str">
        <x:f>IF(M5="WARN","Positive FCFF conflicts with implied CapEx/CFO above 100% if periods and definitions match.",IF(N5="FLAT g IDENTITY","Reported endpoints do not evidence an independent annual operating forecast.","Review forecast construction."))</x:f>
        <x:v>Reported endpoints do not evidence an independent annual operating forecast.</x:v>
      </x:c>
    </x:row>
    <x:row r="6" ht="44" customHeight="1">
      <x:c r="A6" s="29" t="str">
        <x:f>'Inputs Raw'!$A$3</x:f>
        <x:v>CAT</x:v>
      </x:c>
      <x:c r="B6" s="33" t="n">
        <x:f>'Inputs Raw'!$D$3/1000000000</x:f>
        <x:v>10.636693843707409</x:v>
      </x:c>
      <x:c r="C6" s="31" t="n">
        <x:f>'Inputs Raw'!$P$3/100</x:f>
        <x:v>0.11136677389433892</x:v>
      </x:c>
      <x:c r="D6" s="31" t="n">
        <x:f>'Inputs Raw'!$Q$3/100</x:f>
        <x:v>0.022</x:v>
      </x:c>
      <x:c r="E6" s="37" t="n">
        <x:f>'Results Raw'!$N$6/1000000000</x:f>
        <x:v>121.6414181082752</x:v>
      </x:c>
      <x:c r="F6" s="37" t="n">
        <x:f>B6*(1+D6)/(C6-D6)</x:f>
        <x:v>121.64141810827519</x:v>
      </x:c>
      <x:c r="G6" s="68" t="n">
        <x:f>ABS(E6-F6)</x:f>
        <x:v>1.4210854715202004e-14</x:v>
      </x:c>
      <x:c r="H6" s="37" t="n">
        <x:f>'Results Raw'!$P$6/1000000000</x:f>
        <x:v>18.326479866126686</x:v>
      </x:c>
      <x:c r="I6" s="37" t="n">
        <x:f>B6*(1+D6)^25</x:f>
        <x:v>18.326479866126686</x:v>
      </x:c>
      <x:c r="J6" s="68" t="n">
        <x:f>ABS(H6-I6)</x:f>
        <x:v>0</x:v>
      </x:c>
      <x:c r="K6" s="49" t="n">
        <x:f>'Inputs Raw'!$AC$3</x:f>
        <x:v>0.7403100775193798</x:v>
      </x:c>
      <x:c r="L6" s="41" t="n">
        <x:f>MAX(K6-0.5,0)</x:f>
        <x:v>0.24031007751937983</x:v>
      </x:c>
      <x:c r="M6" s="29" t="str">
        <x:f>IF(AND(B6&gt;0,L6&gt;100%),"WARN","OK")</x:f>
        <x:v>OK</x:v>
      </x:c>
      <x:c r="N6" s="29" t="str">
        <x:f>IF(AND(G6&lt;=0.001,J6&lt;=0.001),"FLAT g IDENTITY","REVIEW")</x:f>
        <x:v>FLAT g IDENTITY</x:v>
      </x:c>
      <x:c r="O6" s="43" t="str">
        <x:f>IF(M6="WARN","Positive FCFF conflicts with implied CapEx/CFO above 100% if periods and definitions match.",IF(N6="FLAT g IDENTITY","Reported endpoints do not evidence an independent annual operating forecast.","Review forecast construction."))</x:f>
        <x:v>Reported endpoints do not evidence an independent annual operating forecast.</x:v>
      </x:c>
    </x:row>
    <x:row r="7" ht="44" customHeight="1">
      <x:c r="A7" s="29" t="str">
        <x:f>'Inputs Raw'!$A$4</x:f>
        <x:v>CVX</x:v>
      </x:c>
      <x:c r="B7" s="33" t="n">
        <x:f>'Inputs Raw'!$D$4/1000000000</x:f>
        <x:v>18.14223045632</x:v>
      </x:c>
      <x:c r="C7" s="31" t="n">
        <x:f>'Inputs Raw'!$P$4/100</x:f>
        <x:v>0.06703409024859606</x:v>
      </x:c>
      <x:c r="D7" s="31" t="n">
        <x:f>'Inputs Raw'!$Q$4/100</x:f>
        <x:v>0.018</x:v>
      </x:c>
      <x:c r="E7" s="37" t="n">
        <x:f>'Results Raw'!$N$9/1000000000</x:f>
        <x:v>376.6520498473526</x:v>
      </x:c>
      <x:c r="F7" s="37" t="n">
        <x:f>B7*(1+D7)/(C7-D7)</x:f>
        <x:v>376.65204984735203</x:v>
      </x:c>
      <x:c r="G7" s="68" t="n">
        <x:f>ABS(E7-F7)</x:f>
        <x:v>5.684341886080801e-13</x:v>
      </x:c>
      <x:c r="H7" s="37" t="n">
        <x:f>'Results Raw'!$P$9/1000000000</x:f>
        <x:v>28.339039686316536</x:v>
      </x:c>
      <x:c r="I7" s="37" t="n">
        <x:f>B7*(1+D7)^25</x:f>
        <x:v>28.33903968631654</x:v>
      </x:c>
      <x:c r="J7" s="68" t="n">
        <x:f>ABS(H7-I7)</x:f>
        <x:v>3.552713678800501e-15</x:v>
      </x:c>
      <x:c r="K7" s="49" t="n">
        <x:f>'Inputs Raw'!$AC$4</x:f>
        <x:v>1.0111228969621968</x:v>
      </x:c>
      <x:c r="L7" s="41" t="n">
        <x:f>MAX(K7-0.5,0)</x:f>
        <x:v>0.5111228969621968</x:v>
      </x:c>
      <x:c r="M7" s="29" t="str">
        <x:f>IF(AND(B7&gt;0,L7&gt;100%),"WARN","OK")</x:f>
        <x:v>OK</x:v>
      </x:c>
      <x:c r="N7" s="29" t="str">
        <x:f>IF(AND(G7&lt;=0.001,J7&lt;=0.001),"FLAT g IDENTITY","REVIEW")</x:f>
        <x:v>FLAT g IDENTITY</x:v>
      </x:c>
      <x:c r="O7" s="43" t="str">
        <x:f>IF(M7="WARN","Positive FCFF conflicts with implied CapEx/CFO above 100% if periods and definitions match.",IF(N7="FLAT g IDENTITY","Reported endpoints do not evidence an independent annual operating forecast.","Review forecast construction."))</x:f>
        <x:v>Reported endpoints do not evidence an independent annual operating forecast.</x:v>
      </x:c>
    </x:row>
    <x:row r="8" ht="44" customHeight="1">
      <x:c r="A8" s="29" t="str">
        <x:f>'Inputs Raw'!$A$5</x:f>
        <x:v>DE</x:v>
      </x:c>
      <x:c r="B8" s="33" t="n">
        <x:f>'Inputs Raw'!$D$5/1000000000</x:f>
        <x:v>8.631149592456447</x:v>
      </x:c>
      <x:c r="C8" s="31" t="n">
        <x:f>'Inputs Raw'!$P$5/100</x:f>
        <x:v>0.07853230639934694</x:v>
      </x:c>
      <x:c r="D8" s="31" t="n">
        <x:f>'Inputs Raw'!$Q$5/100</x:f>
        <x:v>0.022</x:v>
      </x:c>
      <x:c r="E8" s="37" t="n">
        <x:f>'Results Raw'!$N$12/1000000000</x:f>
        <x:v>156.03529106310094</x:v>
      </x:c>
      <x:c r="F8" s="37" t="n">
        <x:f>B8*(1+D8)/(C8-D8)</x:f>
        <x:v>156.03529106310066</x:v>
      </x:c>
      <x:c r="G8" s="68" t="n">
        <x:f>ABS(E8-F8)</x:f>
        <x:v>2.8421709430404007e-13</x:v>
      </x:c>
      <x:c r="H8" s="37" t="n">
        <x:f>'Results Raw'!$P$12/1000000000</x:f>
        <x:v>14.871029621789665</x:v>
      </x:c>
      <x:c r="I8" s="37" t="n">
        <x:f>B8*(1+D8)^25</x:f>
        <x:v>14.871029621789663</x:v>
      </x:c>
      <x:c r="J8" s="68" t="n">
        <x:f>ABS(H8-I8)</x:f>
        <x:v>1.7763568394002505e-15</x:v>
      </x:c>
      <x:c r="K8" s="49" t="n">
        <x:f>'Inputs Raw'!$AC$5</x:f>
        <x:v>0.6823300710551012</x:v>
      </x:c>
      <x:c r="L8" s="41" t="n">
        <x:f>MAX(K8-0.5,0)</x:f>
        <x:v>0.18233007105510124</x:v>
      </x:c>
      <x:c r="M8" s="29" t="str">
        <x:f>IF(AND(B8&gt;0,L8&gt;100%),"WARN","OK")</x:f>
        <x:v>OK</x:v>
      </x:c>
      <x:c r="N8" s="29" t="str">
        <x:f>IF(AND(G8&lt;=0.001,J8&lt;=0.001),"FLAT g IDENTITY","REVIEW")</x:f>
        <x:v>FLAT g IDENTITY</x:v>
      </x:c>
      <x:c r="O8" s="43" t="str">
        <x:f>IF(M8="WARN","Positive FCFF conflicts with implied CapEx/CFO above 100% if periods and definitions match.",IF(N8="FLAT g IDENTITY","Reported endpoints do not evidence an independent annual operating forecast.","Review forecast construction."))</x:f>
        <x:v>Reported endpoints do not evidence an independent annual operating forecast.</x:v>
      </x:c>
    </x:row>
    <x:row r="9" ht="44" customHeight="1">
      <x:c r="A9" s="29" t="str">
        <x:f>'Inputs Raw'!$A$6</x:f>
        <x:v>DUK</x:v>
      </x:c>
      <x:c r="B9" s="33" t="n">
        <x:f>'Inputs Raw'!$D$6/1000000000</x:f>
        <x:v>1.5315567226890754</x:v>
      </x:c>
      <x:c r="C9" s="31" t="n">
        <x:f>'Inputs Raw'!$P$6/100</x:f>
        <x:v>0.05116136979477691</x:v>
      </x:c>
      <x:c r="D9" s="31" t="n">
        <x:f>'Inputs Raw'!$Q$6/100</x:f>
        <x:v>0.02</x:v>
      </x:c>
      <x:c r="E9" s="37" t="n">
        <x:f>'Results Raw'!$N$15/1000000000</x:f>
        <x:v>50.13219468306894</x:v>
      </x:c>
      <x:c r="F9" s="37" t="n">
        <x:f>B9*(1+D9)/(C9-D9)</x:f>
        <x:v>50.13219468306884</x:v>
      </x:c>
      <x:c r="G9" s="68" t="n">
        <x:f>ABS(E9-F9)</x:f>
        <x:v>9.947598300641403e-14</x:v>
      </x:c>
      <x:c r="H9" s="37" t="n">
        <x:f>'Results Raw'!$P$15/1000000000</x:f>
        <x:v>2.512681140106454</x:v>
      </x:c>
      <x:c r="I9" s="37" t="n">
        <x:f>B9*(1+D9)^25</x:f>
        <x:v>2.512681140106454</x:v>
      </x:c>
      <x:c r="J9" s="68" t="n">
        <x:f>ABS(H9-I9)</x:f>
        <x:v>0</x:v>
      </x:c>
      <x:c r="K9" s="49" t="n">
        <x:f>'Inputs Raw'!$AC$6</x:f>
        <x:v>1.6373884833738848</x:v>
      </x:c>
      <x:c r="L9" s="41" t="n">
        <x:f>MAX(K9-0.5,0)</x:f>
        <x:v>1.1373884833738848</x:v>
      </x:c>
      <x:c r="M9" s="29" t="str">
        <x:f>IF(AND(B9&gt;0,L9&gt;100%),"WARN","OK")</x:f>
        <x:v>WARN</x:v>
      </x:c>
      <x:c r="N9" s="29" t="str">
        <x:f>IF(AND(G9&lt;=0.001,J9&lt;=0.001),"FLAT g IDENTITY","REVIEW")</x:f>
        <x:v>FLAT g IDENTITY</x:v>
      </x:c>
      <x:c r="O9" s="43" t="str">
        <x:f>IF(M9="WARN","Positive FCFF conflicts with implied CapEx/CFO above 100% if periods and definitions match.",IF(N9="FLAT g IDENTITY","Reported endpoints do not evidence an independent annual operating forecast.","Review forecast construction."))</x:f>
        <x:v>Positive FCFF conflicts with implied CapEx/CFO above 100% if periods and definitions match.</x:v>
      </x:c>
    </x:row>
    <x:row r="10" ht="44" customHeight="1">
      <x:c r="A10" s="29" t="str">
        <x:f>'Inputs Raw'!$A$7</x:f>
        <x:v>MSFT</x:v>
      </x:c>
      <x:c r="B10" s="33" t="n">
        <x:f>'Inputs Raw'!$D$7/1000000000</x:f>
        <x:v>73.4770406964498</x:v>
      </x:c>
      <x:c r="C10" s="31" t="n">
        <x:f>'Inputs Raw'!$P$7/100</x:f>
        <x:v>0.09627276973766637</x:v>
      </x:c>
      <x:c r="D10" s="31" t="n">
        <x:f>'Inputs Raw'!$Q$7/100</x:f>
        <x:v>0.025</x:v>
      </x:c>
      <x:c r="E10" s="37" t="n">
        <x:f>'Results Raw'!$N$18/1000000000</x:f>
        <x:v>1056.7004339956056</x:v>
      </x:c>
      <x:c r="F10" s="37" t="n">
        <x:f>B10*(1+D10)/(C10-D10)</x:f>
        <x:v>1056.7004339956077</x:v>
      </x:c>
      <x:c r="G10" s="68" t="n">
        <x:f>ABS(E10-F10)</x:f>
        <x:v>2.0463630789890885e-12</x:v>
      </x:c>
      <x:c r="H10" s="37" t="n">
        <x:f>'Results Raw'!$P$18/1000000000</x:f>
        <x:v>136.22232596135967</x:v>
      </x:c>
      <x:c r="I10" s="37" t="n">
        <x:f>B10*(1+D10)^25</x:f>
        <x:v>136.22232596135967</x:v>
      </x:c>
      <x:c r="J10" s="68" t="n">
        <x:f>ABS(H10-I10)</x:f>
        <x:v>0</x:v>
      </x:c>
      <x:c r="K10" s="49" t="n">
        <x:f>'Inputs Raw'!$AC$7</x:f>
        <x:v>0.974074998898371</x:v>
      </x:c>
      <x:c r="L10" s="41" t="n">
        <x:f>MAX(K10-0.5,0)</x:f>
        <x:v>0.474074998898371</x:v>
      </x:c>
      <x:c r="M10" s="29" t="str">
        <x:f>IF(AND(B10&gt;0,L10&gt;100%),"WARN","OK")</x:f>
        <x:v>OK</x:v>
      </x:c>
      <x:c r="N10" s="29" t="str">
        <x:f>IF(AND(G10&lt;=0.001,J10&lt;=0.001),"FLAT g IDENTITY","REVIEW")</x:f>
        <x:v>FLAT g IDENTITY</x:v>
      </x:c>
      <x:c r="O10" s="43" t="str">
        <x:f>IF(M10="WARN","Positive FCFF conflicts with implied CapEx/CFO above 100% if periods and definitions match.",IF(N10="FLAT g IDENTITY","Reported endpoints do not evidence an independent annual operating forecast.","Review forecast construction."))</x:f>
        <x:v>Reported endpoints do not evidence an independent annual operating forecast.</x:v>
      </x:c>
    </x:row>
    <x:row r="11" ht="44" customHeight="1">
      <x:c r="A11" s="29" t="str">
        <x:f>'Inputs Raw'!$A$8</x:f>
        <x:v>NEE</x:v>
      </x:c>
      <x:c r="B11" s="33" t="n">
        <x:f>'Inputs Raw'!$D$8/1000000000</x:f>
        <x:v>9.87944</x:v>
      </x:c>
      <x:c r="C11" s="31" t="n">
        <x:f>'Inputs Raw'!$P$8/100</x:f>
        <x:v>0.06849686675720218</x:v>
      </x:c>
      <x:c r="D11" s="31" t="n">
        <x:f>'Inputs Raw'!$Q$8/100</x:f>
        <x:v>0.02</x:v>
      </x:c>
      <x:c r="E11" s="37" t="n">
        <x:f>'Results Raw'!$N$21/1000000000</x:f>
        <x:v>207.78721335648945</x:v>
      </x:c>
      <x:c r="F11" s="37" t="n">
        <x:f>B11*(1+D11)/(C11-D11)</x:f>
        <x:v>207.78721335648927</x:v>
      </x:c>
      <x:c r="G11" s="68" t="n">
        <x:f>ABS(E11-F11)</x:f>
        <x:v>1.7053025658242404e-13</x:v>
      </x:c>
      <x:c r="H11" s="37" t="n">
        <x:f>'Results Raw'!$P$21/1000000000</x:f>
        <x:v>16.20826848595464</x:v>
      </x:c>
      <x:c r="I11" s="37" t="n">
        <x:f>B11*(1+D11)^25</x:f>
        <x:v>16.20826848595464</x:v>
      </x:c>
      <x:c r="J11" s="68" t="n">
        <x:f>ABS(H11-I11)</x:f>
        <x:v>0</x:v>
      </x:c>
      <x:c r="K11" s="49" t="n">
        <x:f>'Inputs Raw'!$AC$8</x:f>
        <x:v>2</x:v>
      </x:c>
      <x:c r="L11" s="41" t="n">
        <x:f>MAX(K11-0.5,0)</x:f>
        <x:v>1.5</x:v>
      </x:c>
      <x:c r="M11" s="29" t="str">
        <x:f>IF(AND(B11&gt;0,L11&gt;100%),"WARN","OK")</x:f>
        <x:v>WARN</x:v>
      </x:c>
      <x:c r="N11" s="29" t="str">
        <x:f>IF(AND(G11&lt;=0.001,J11&lt;=0.001),"FLAT g IDENTITY","REVIEW")</x:f>
        <x:v>FLAT g IDENTITY</x:v>
      </x:c>
      <x:c r="O11" s="43" t="str">
        <x:f>IF(M11="WARN","Positive FCFF conflicts with implied CapEx/CFO above 100% if periods and definitions match.",IF(N11="FLAT g IDENTITY","Reported endpoints do not evidence an independent annual operating forecast.","Review forecast construction."))</x:f>
        <x:v>Positive FCFF conflicts with implied CapEx/CFO above 100% if periods and definitions match.</x:v>
      </x:c>
    </x:row>
    <x:row r="12" ht="44" customHeight="1">
      <x:c r="A12" s="29" t="str">
        <x:f>'Inputs Raw'!$A$9</x:f>
        <x:v>XOM</x:v>
      </x:c>
      <x:c r="B12" s="33" t="n">
        <x:f>'Inputs Raw'!$D$9/1000000000</x:f>
        <x:v>24.046905786565862</x:v>
      </x:c>
      <x:c r="C12" s="31" t="n">
        <x:f>'Inputs Raw'!$P$9/100</x:f>
        <x:v>0.054180089757394995</x:v>
      </x:c>
      <x:c r="D12" s="31" t="n">
        <x:f>'Inputs Raw'!$Q$9/100</x:f>
        <x:v>0.018</x:v>
      </x:c>
      <x:c r="E12" s="37" t="n">
        <x:f>'Results Raw'!$N$24/1000000000</x:f>
        <x:v>676.6083294671913</x:v>
      </x:c>
      <x:c r="F12" s="37" t="n">
        <x:f>B12*(1+D12)/(C12-D12)</x:f>
        <x:v>676.6083294671907</x:v>
      </x:c>
      <x:c r="G12" s="68" t="n">
        <x:f>ABS(E12-F12)</x:f>
        <x:v>5.684341886080801e-13</x:v>
      </x:c>
      <x:c r="H12" s="37" t="n">
        <x:f>'Results Raw'!$P$24/1000000000</x:f>
        <x:v>37.5624275669594</x:v>
      </x:c>
      <x:c r="I12" s="37" t="n">
        <x:f>B12*(1+D12)^25</x:f>
        <x:v>37.5624275669594</x:v>
      </x:c>
      <x:c r="J12" s="68" t="n">
        <x:f>ABS(H12-I12)</x:f>
        <x:v>0</x:v>
      </x:c>
      <x:c r="K12" s="49" t="n">
        <x:f>'Inputs Raw'!$AC$9</x:f>
        <x:v>1.0456609582451413</x:v>
      </x:c>
      <x:c r="L12" s="41" t="n">
        <x:f>MAX(K12-0.5,0)</x:f>
        <x:v>0.5456609582451413</x:v>
      </x:c>
      <x:c r="M12" s="29" t="str">
        <x:f>IF(AND(B12&gt;0,L12&gt;100%),"WARN","OK")</x:f>
        <x:v>OK</x:v>
      </x:c>
      <x:c r="N12" s="29" t="str">
        <x:f>IF(AND(G12&lt;=0.001,J12&lt;=0.001),"FLAT g IDENTITY","REVIEW")</x:f>
        <x:v>FLAT g IDENTITY</x:v>
      </x:c>
      <x:c r="O12" s="43" t="str">
        <x:f>IF(M12="WARN","Positive FCFF conflicts with implied CapEx/CFO above 100% if periods and definitions match.",IF(N12="FLAT g IDENTITY","Reported endpoints do not evidence an independent annual operating forecast.","Review forecast construction."))</x:f>
        <x:v>Reported endpoints do not evidence an independent annual operating forecast.</x:v>
      </x:c>
    </x:row>
    <x:row r="14" ht="30" customHeight="1">
      <x:c r="A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B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C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D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E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F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G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H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I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J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K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L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M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N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O14"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row>
    <x:row r="15" ht="30" customHeight="1">
      <x:c r="A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B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C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D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E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F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G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H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I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J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K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L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M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N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c r="O15" s="71" t="str">
        <x:v>Interpretation: a zero identity gap is mechanically correct, but it confirms that the supplied reference valuation is a Gordon-growth identity rather than evidence of a separate annual operating forecast. For a capped scale of 2.00x, the implied CapEx/CFO shown here is a minimum of 150%.</x:v>
      </x:c>
    </x:row>
  </x:sheetData>
  <x:mergeCells>
    <x:mergeCell ref="A1:O1"/>
    <x:mergeCell ref="A2:O2"/>
    <x:mergeCell ref="A14:O15"/>
  </x:mergeCells>
  <x:conditionalFormatting sqref="M5:M12">
    <x:cfRule type="containsText" dxfId="16" priority="1" operator="containsText" text="OK"/>
    <x:cfRule type="containsText" dxfId="17" priority="2" operator="containsText" text="RANKABLE"/>
    <x:cfRule type="containsText" dxfId="18" priority="3" operator="containsText" text="CAUTION"/>
    <x:cfRule type="containsText" dxfId="19" priority="4" operator="containsText" text="WARN"/>
    <x:cfRule type="containsText" dxfId="20" priority="5" operator="containsText" text="EXCLUDE"/>
    <x:cfRule type="containsText" dxfId="21" priority="6" operator="containsText" text="FAIL"/>
    <x:cfRule type="containsText" dxfId="22" priority="7" operator="containsText" text="LIMITED"/>
  </x:conditionalFormatting>
  <x:conditionalFormatting sqref="N5:N12">
    <x:cfRule type="containsText" dxfId="23" priority="8" operator="containsText" text="FLAT g IDENTITY"/>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16" hidden="0" customWidth="1"/>
    <x:col min="4" max="4" width="14" hidden="0" customWidth="1"/>
    <x:col min="5" max="5" width="12" hidden="0" customWidth="1"/>
    <x:col min="6" max="6" width="12" hidden="0" customWidth="1"/>
    <x:col min="7" max="7" width="58" hidden="0" customWidth="1"/>
  </x:cols>
  <x:sheetData>
    <x:row r="1" ht="30" customHeight="1">
      <x:c r="A1" s="18" t="str">
        <x:v>Checks</x:v>
      </x:c>
      <x:c r="B1" s="18" t="str">
        <x:v>Checks</x:v>
      </x:c>
      <x:c r="C1" s="18" t="str">
        <x:v>Checks</x:v>
      </x:c>
      <x:c r="D1" s="18" t="str">
        <x:v>Checks</x:v>
      </x:c>
      <x:c r="E1" s="18" t="str">
        <x:v>Checks</x:v>
      </x:c>
      <x:c r="F1" s="18" t="str">
        <x:v>Checks</x:v>
      </x:c>
      <x:c r="G1" s="18" t="str">
        <x:v>Checks</x:v>
      </x:c>
    </x:row>
    <x:row r="2" ht="28" customHeight="1">
      <x:c r="A2" s="22" t="str">
        <x:v>FAIL = formula/model integrity issue. WARN = a known limitation that has been surfaced and isolated. The reviewed model may be used only within those limitations.</x:v>
      </x:c>
      <x:c r="B2" s="22" t="str">
        <x:v>FAIL = formula/model integrity issue. WARN = a known limitation that has been surfaced and isolated. The reviewed model may be used only within those limitations.</x:v>
      </x:c>
      <x:c r="C2" s="22" t="str">
        <x:v>FAIL = formula/model integrity issue. WARN = a known limitation that has been surfaced and isolated. The reviewed model may be used only within those limitations.</x:v>
      </x:c>
      <x:c r="D2" s="22" t="str">
        <x:v>FAIL = formula/model integrity issue. WARN = a known limitation that has been surfaced and isolated. The reviewed model may be used only within those limitations.</x:v>
      </x:c>
      <x:c r="E2" s="22" t="str">
        <x:v>FAIL = formula/model integrity issue. WARN = a known limitation that has been surfaced and isolated. The reviewed model may be used only within those limitations.</x:v>
      </x:c>
      <x:c r="F2" s="22" t="str">
        <x:v>FAIL = formula/model integrity issue. WARN = a known limitation that has been surfaced and isolated. The reviewed model may be used only within those limitations.</x:v>
      </x:c>
      <x:c r="G2" s="22" t="str">
        <x:v>FAIL = formula/model integrity issue. WARN = a known limitation that has been surfaced and isolated. The reviewed model may be used only within those limitations.</x:v>
      </x:c>
    </x:row>
    <x:row r="4">
      <x:c r="A4" s="7" t="str">
        <x:v>ID</x:v>
      </x:c>
      <x:c r="B4" s="7" t="str">
        <x:v>Check</x:v>
      </x:c>
      <x:c r="C4" s="7" t="str">
        <x:v>Actual</x:v>
      </x:c>
      <x:c r="D4" s="7" t="str">
        <x:v>Expected</x:v>
      </x:c>
      <x:c r="E4" s="7" t="str">
        <x:v>Tolerance</x:v>
      </x:c>
      <x:c r="F4" s="7" t="str">
        <x:v>Status</x:v>
      </x:c>
      <x:c r="G4" s="7" t="str">
        <x:v>Notes</x:v>
      </x:c>
    </x:row>
    <x:row r="5" ht="34" customHeight="1">
      <x:c r="A5" s="26" t="str">
        <x:v>C01</x:v>
      </x:c>
      <x:c r="B5" s="26" t="str">
        <x:v>Scenario result row count</x:v>
      </x:c>
      <x:c r="C5" s="93" t="n">
        <x:f>COUNTA('Results Raw'!$A$2:$A$121)</x:f>
        <x:v>120</x:v>
      </x:c>
      <x:c r="D5" s="93" t="n">
        <x:v>120</x:v>
      </x:c>
      <x:c r="E5" s="93" t="n">
        <x:v>0</x:v>
      </x:c>
      <x:c r="F5" s="26" t="str">
        <x:f>IF(ABS(C5-D5)&lt;=E5,"OK","FAIL")</x:f>
        <x:v>OK</x:v>
      </x:c>
      <x:c r="G5" s="57" t="str">
        <x:v>Eight issuers × five scenario pairs × three assumption cases.</x:v>
      </x:c>
    </x:row>
    <x:row r="6" ht="34" customHeight="1">
      <x:c r="A6" s="27" t="str">
        <x:v>C02</x:v>
      </x:c>
      <x:c r="B6" s="27" t="str">
        <x:v>Issuer input row count</x:v>
      </x:c>
      <x:c r="C6" s="94" t="n">
        <x:f>COUNTA('Inputs Raw'!$A$2:$A$9)</x:f>
        <x:v>8</x:v>
      </x:c>
      <x:c r="D6" s="94" t="n">
        <x:v>8</x:v>
      </x:c>
      <x:c r="E6" s="94" t="n">
        <x:v>0</x:v>
      </x:c>
      <x:c r="F6" s="27" t="str">
        <x:f>IF(ABS(C6-D6)&lt;=E6,"OK","FAIL")</x:f>
        <x:v>OK</x:v>
      </x:c>
      <x:c r="G6" s="58" t="str">
        <x:v>Expected eight issuer records.</x:v>
      </x:c>
    </x:row>
    <x:row r="7" ht="34" customHeight="1">
      <x:c r="A7" s="27" t="str">
        <x:v>C03</x:v>
      </x:c>
      <x:c r="B7" s="27" t="str">
        <x:v>Maximum channel reconciliation error</x:v>
      </x:c>
      <x:c r="C7" s="92" t="n">
        <x:f>MAX('Decision View'!$K$5:$K$124)</x:f>
        <x:v>8.881784197001252e-16</x:v>
      </x:c>
      <x:c r="D7" s="92" t="n">
        <x:v>0</x:v>
      </x:c>
      <x:c r="E7" s="92" t="n">
        <x:v>0.000001</x:v>
      </x:c>
      <x:c r="F7" s="27" t="str">
        <x:f>IF(ABS(C7-D7)&lt;=E7,"OK","FAIL")</x:f>
        <x:v>OK</x:v>
      </x:c>
      <x:c r="G7" s="58" t="str">
        <x:v>Original impact should equal transition + physical + macro/supply contribution.</x:v>
      </x:c>
    </x:row>
    <x:row r="8" ht="34" customHeight="1">
      <x:c r="A8" s="27" t="str">
        <x:v>C04</x:v>
      </x:c>
      <x:c r="B8" s="27" t="str">
        <x:v>WACC not greater than terminal growth</x:v>
      </x:c>
      <x:c r="C8" s="94" t="n">
        <x:f>COUNTIF('Issuer Inputs'!$X$5:$X$12,"FAIL")</x:f>
        <x:v>0</x:v>
      </x:c>
      <x:c r="D8" s="94" t="n">
        <x:v>0</x:v>
      </x:c>
      <x:c r="E8" s="94" t="n">
        <x:v>0</x:v>
      </x:c>
      <x:c r="F8" s="27" t="str">
        <x:f>IF(ABS(C8-D8)&lt;=E8,"OK","FAIL")</x:f>
        <x:v>OK</x:v>
      </x:c>
      <x:c r="G8" s="58" t="str">
        <x:v>A non-positive WACC-minus-growth spread invalidates the terminal value.</x:v>
      </x:c>
    </x:row>
    <x:row r="9" ht="34" customHeight="1">
      <x:c r="A9" s="27" t="str">
        <x:v>C05</x:v>
      </x:c>
      <x:c r="B9" s="27" t="str">
        <x:v>Unverified/proxy physical-risk result rows</x:v>
      </x:c>
      <x:c r="C9" s="94" t="n">
        <x:f>COUNTIF('Decision View'!$R$5:$R$124,"PROXY / UNVERIFIED")</x:f>
        <x:v>30</x:v>
      </x:c>
      <x:c r="D9" s="94" t="n">
        <x:v>0</x:v>
      </x:c>
      <x:c r="E9" s="94" t="n">
        <x:v>0</x:v>
      </x:c>
      <x:c r="F9" s="27" t="str">
        <x:f>IF(ABS(C9-D9)&lt;=E9,"OK","WARN")</x:f>
        <x:v>WARN</x:v>
      </x:c>
      <x:c r="G9" s="58" t="str">
        <x:v>These rows are now labeled illustrative and excluded from ordinary rankings.</x:v>
      </x:c>
    </x:row>
    <x:row r="10" ht="34" customHeight="1">
      <x:c r="A10" s="27" t="str">
        <x:v>C06</x:v>
      </x:c>
      <x:c r="B10" s="27" t="str">
        <x:v>Result rows with facility coverage below 75%</x:v>
      </x:c>
      <x:c r="C10" s="94" t="n">
        <x:f>COUNTIF('Decision View'!$R$5:$R$124,"LIMITED COVERAGE")</x:f>
        <x:v>30</x:v>
      </x:c>
      <x:c r="D10" s="94" t="n">
        <x:v>0</x:v>
      </x:c>
      <x:c r="E10" s="94" t="n">
        <x:v>0</x:v>
      </x:c>
      <x:c r="F10" s="27" t="str">
        <x:f>IF(ABS(C10-D10)&lt;=E10,"OK","WARN")</x:f>
        <x:v>WARN</x:v>
      </x:c>
      <x:c r="G10" s="58" t="str">
        <x:v>These rows remain visible but are labeled CAUTION.</x:v>
      </x:c>
    </x:row>
    <x:row r="11" ht="34" customHeight="1">
      <x:c r="A11" s="27" t="str">
        <x:v>C07</x:v>
      </x:c>
      <x:c r="B11" s="27" t="str">
        <x:v>Rows with terminal-FCFF clipping / unapplied cost</x:v>
      </x:c>
      <x:c r="C11" s="94" t="n">
        <x:f>COUNTIF('Decision View'!$N$5:$N$124,"&gt;0.000001")</x:f>
        <x:v>13</x:v>
      </x:c>
      <x:c r="D11" s="94" t="n">
        <x:v>0</x:v>
      </x:c>
      <x:c r="E11" s="94" t="n">
        <x:v>0</x:v>
      </x:c>
      <x:c r="F11" s="27" t="str">
        <x:f>IF(ABS(C11-D11)&lt;=E11,"OK","WARN")</x:f>
        <x:v>WARN</x:v>
      </x:c>
      <x:c r="G11" s="58" t="str">
        <x:v>A terminal FCFF hit zero before the raw channel cost was fully applied; the unapplied amount is now visible.</x:v>
      </x:c>
    </x:row>
    <x:row r="12" ht="34" customHeight="1">
      <x:c r="A12" s="27" t="str">
        <x:v>C08</x:v>
      </x:c>
      <x:c r="B12" s="27" t="str">
        <x:v>EV-floor or symmetric denominator outliers</x:v>
      </x:c>
      <x:c r="C12" s="94" t="n">
        <x:f>COUNTIF('Decision View'!$S$5:$S$124,"&lt;&gt;NORMAL")</x:f>
        <x:v>14</x:v>
      </x:c>
      <x:c r="D12" s="94" t="n">
        <x:v>0</x:v>
      </x:c>
      <x:c r="E12" s="94" t="n">
        <x:v>0</x:v>
      </x:c>
      <x:c r="F12" s="27" t="str">
        <x:f>IF(ABS(C12-D12)&lt;=E12,"OK","WARN")</x:f>
        <x:v>WARN</x:v>
      </x:c>
      <x:c r="G12" s="58" t="str">
        <x:v>A symmetric 4.0x EV-ratio threshold catches near-zero downside and unbounded upside consistently.</x:v>
      </x:c>
    </x:row>
    <x:row r="13" ht="34" customHeight="1">
      <x:c r="A13" s="27" t="str">
        <x:v>C09</x:v>
      </x:c>
      <x:c r="B13" s="27" t="str">
        <x:v>Incomplete source audit records</x:v>
      </x:c>
      <x:c r="C13" s="94" t="n">
        <x:f>COUNTIF('Sources'!$G$5:$G$15,"INCOMPLETE")</x:f>
        <x:v>4</x:v>
      </x:c>
      <x:c r="D13" s="94" t="n">
        <x:v>0</x:v>
      </x:c>
      <x:c r="E13" s="94" t="n">
        <x:v>0</x:v>
      </x:c>
      <x:c r="F13" s="27" t="str">
        <x:f>IF(ABS(C13-D13)&lt;=E13,"OK","WARN")</x:f>
        <x:v>WARN</x:v>
      </x:c>
      <x:c r="G13" s="58" t="str">
        <x:v>Local raw path and SHA-256 are required for a fully reproducible release.</x:v>
      </x:c>
    </x:row>
    <x:row r="14" ht="34" customHeight="1">
      <x:c r="A14" s="27" t="str">
        <x:v>C10</x:v>
      </x:c>
      <x:c r="B14" s="27" t="str">
        <x:v>Negative target enterprise values</x:v>
      </x:c>
      <x:c r="C14" s="94" t="n">
        <x:f>COUNTIF('Results Raw'!$O$2:$O$121,"&lt;0")</x:f>
        <x:v>0</x:v>
      </x:c>
      <x:c r="D14" s="94" t="n">
        <x:v>0</x:v>
      </x:c>
      <x:c r="E14" s="94" t="n">
        <x:v>0</x:v>
      </x:c>
      <x:c r="F14" s="27" t="str">
        <x:f>IF(ABS(C14-D14)&lt;=E14,"OK","FAIL")</x:f>
        <x:v>OK</x:v>
      </x:c>
      <x:c r="G14" s="58" t="str">
        <x:v>Negative EVs should not pass a floor silently.</x:v>
      </x:c>
    </x:row>
    <x:row r="15" ht="34" customHeight="1">
      <x:c r="A15" s="27" t="str">
        <x:v>C11</x:v>
      </x:c>
      <x:c r="B15" s="27" t="str">
        <x:v>Missing target/reference enterprise values</x:v>
      </x:c>
      <x:c r="C15" s="94" t="n">
        <x:f>COUNTBLANK('Results Raw'!$N$2:$O$121)</x:f>
        <x:v>0</x:v>
      </x:c>
      <x:c r="D15" s="94" t="n">
        <x:v>0</x:v>
      </x:c>
      <x:c r="E15" s="94" t="n">
        <x:v>0</x:v>
      </x:c>
      <x:c r="F15" s="27" t="str">
        <x:f>IF(ABS(C15-D15)&lt;=E15,"OK","FAIL")</x:f>
        <x:v>OK</x:v>
      </x:c>
      <x:c r="G15" s="58" t="str">
        <x:v>Both values are needed for the original and symmetric metrics.</x:v>
      </x:c>
    </x:row>
    <x:row r="16" ht="34" customHeight="1">
      <x:c r="A16" s="27" t="str">
        <x:v>C12</x:v>
      </x:c>
      <x:c r="B16" s="27" t="str">
        <x:v>Rows excluded from ordinary ranking</x:v>
      </x:c>
      <x:c r="C16" s="94" t="n">
        <x:f>COUNTIF('Decision View'!$T$5:$T$124,"EXCLUDE")</x:f>
        <x:v>44</x:v>
      </x:c>
      <x:c r="D16" s="94" t="n">
        <x:v>0</x:v>
      </x:c>
      <x:c r="E16" s="94" t="n">
        <x:v>0</x:v>
      </x:c>
      <x:c r="F16" s="27" t="str">
        <x:f>IF(ABS(C16-D16)&lt;=E16,"OK","WARN")</x:f>
        <x:v>WARN</x:v>
      </x:c>
      <x:c r="G16" s="58" t="str">
        <x:v>Exclusion is intentional remediation, not deletion; the source values remain auditable.</x:v>
      </x:c>
    </x:row>
    <x:row r="17" ht="34" customHeight="1">
      <x:c r="A17" s="27" t="str">
        <x:v>C13</x:v>
      </x:c>
      <x:c r="B17" s="27" t="str">
        <x:v>Auditable FCFF bridge and annual forecast path supplied</x:v>
      </x:c>
      <x:c r="C17" s="94" t="n">
        <x:f>0</x:f>
        <x:v>0</x:v>
      </x:c>
      <x:c r="D17" s="94" t="n">
        <x:v>1</x:v>
      </x:c>
      <x:c r="E17" s="94" t="n">
        <x:v>0</x:v>
      </x:c>
      <x:c r="F17" s="27" t="str">
        <x:f>IF(ABS(C17-D17)&lt;=E17,"OK","WARN")</x:f>
        <x:v>WARN</x:v>
      </x:c>
      <x:c r="G17" s="58" t="str">
        <x:v>The newly supplied PDF is identical to the prior copy and confirms that only normalized FCFF and 2050 endpoints are available.</x:v>
      </x:c>
    </x:row>
    <x:row r="18" ht="34" customHeight="1">
      <x:c r="A18" s="27" t="str">
        <x:v>C14</x:v>
      </x:c>
      <x:c r="B18" s="27" t="str">
        <x:v>Enterprise-to-equity bridge inputs supplied</x:v>
      </x:c>
      <x:c r="C18" s="94" t="n">
        <x:f>0</x:f>
        <x:v>0</x:v>
      </x:c>
      <x:c r="D18" s="94" t="n">
        <x:v>1</x:v>
      </x:c>
      <x:c r="E18" s="94" t="n">
        <x:v>0</x:v>
      </x:c>
      <x:c r="F18" s="27" t="str">
        <x:f>IF(ABS(C18-D18)&lt;=E18,"OK","WARN")</x:f>
        <x:v>WARN</x:v>
      </x:c>
      <x:c r="G18" s="58" t="str">
        <x:v>The PDF contains enterprise values only; net debt, other claims, non-operating assets and share/ETF mapping are absent.</x:v>
      </x:c>
    </x:row>
    <x:row r="19" ht="34" customHeight="1">
      <x:c r="A19" s="27" t="str">
        <x:v>C15</x:v>
      </x:c>
      <x:c r="B19" s="27" t="str">
        <x:v>Maximum reference-EV identity gap ($bn)</x:v>
      </x:c>
      <x:c r="C19" s="92" t="n">
        <x:f>MAX('DCF Audit'!$G$5:$G$12)</x:f>
        <x:v>2.0463630789890885e-12</x:v>
      </x:c>
      <x:c r="D19" s="92" t="n">
        <x:v>0</x:v>
      </x:c>
      <x:c r="E19" s="92" t="n">
        <x:v>0.001</x:v>
      </x:c>
      <x:c r="F19" s="27" t="str">
        <x:f>IF(ABS(C19-D19)&lt;=E19,"OK","FAIL")</x:f>
        <x:v>OK</x:v>
      </x:c>
      <x:c r="G19" s="58" t="str">
        <x:v>A near-zero gap confirms the reported reference EV equals normalized FCFF × (1+g) ÷ (WACC−g).</x:v>
      </x:c>
    </x:row>
    <x:row r="20" ht="34" customHeight="1">
      <x:c r="A20" s="27" t="str">
        <x:v>C16</x:v>
      </x:c>
      <x:c r="B20" s="27" t="str">
        <x:v>Maximum 2050-FCFF identity gap ($bn)</x:v>
      </x:c>
      <x:c r="C20" s="92" t="n">
        <x:f>MAX('DCF Audit'!$J$5:$J$12)</x:f>
        <x:v>2.842170943040401e-14</x:v>
      </x:c>
      <x:c r="D20" s="92" t="n">
        <x:v>0</x:v>
      </x:c>
      <x:c r="E20" s="92" t="n">
        <x:v>0.001</x:v>
      </x:c>
      <x:c r="F20" s="27" t="str">
        <x:f>IF(ABS(C20-D20)&lt;=E20,"OK","FAIL")</x:f>
        <x:v>OK</x:v>
      </x:c>
      <x:c r="G20" s="58" t="str">
        <x:v>A near-zero gap confirms the reported terminal FCFF equals normalized FCFF × (1+g)^25.</x:v>
      </x:c>
    </x:row>
    <x:row r="21" ht="34" customHeight="1">
      <x:c r="A21" s="27" t="str">
        <x:v>C17</x:v>
      </x:c>
      <x:c r="B21" s="27" t="str">
        <x:v>Positive FCFF with implied CapEx/CFO above 100%</x:v>
      </x:c>
      <x:c r="C21" s="94" t="n">
        <x:f>COUNTIF('DCF Audit'!$M$5:$M$12,"WARN")</x:f>
        <x:v>2</x:v>
      </x:c>
      <x:c r="D21" s="94" t="n">
        <x:v>0</x:v>
      </x:c>
      <x:c r="E21" s="94" t="n">
        <x:v>0</x:v>
      </x:c>
      <x:c r="F21" s="27" t="str">
        <x:f>IF(ABS(C21-D21)&lt;=E21,"OK","WARN")</x:f>
        <x:v>WARN</x:v>
      </x:c>
      <x:c r="G21" s="58" t="str">
        <x:v>If periods and definitions match, CapEx above CFO conflicts with positive CFO−CapEx; the source bridge must be reconciled.</x:v>
      </x:c>
    </x:row>
    <x:row r="23" ht="36" customHeight="1">
      <x:c r="A23" s="50" t="str">
        <x:v>OVERALL MODEL STATUS</x:v>
      </x:c>
      <x:c r="B23" s="50" t="str">
        <x:v>OVERALL MODEL STATUS</x:v>
      </x:c>
      <x:c r="C23" s="96" t="str">
        <x:f>IF(COUNTIF(F5:F21,"FAIL")&gt;0,"FAIL",IF(COUNTIF(F5:F21,"WARN")&gt;0,"LIMITED","OK"))</x:f>
        <x:v>LIMITED</x:v>
      </x:c>
      <x:c r="D23" s="96"/>
      <x:c r="E23" s="65" t="str">
        <x:v>LIMITED is expected until proxy facilities, source hashes, the FCFF/annual forecast bridge, EV-to-equity data and extreme scenario comparisons are resolved.</x:v>
      </x:c>
      <x:c r="F23" s="65" t="str">
        <x:v>LIMITED is expected until proxy facilities, source hashes, the FCFF/annual forecast bridge, EV-to-equity data and extreme scenario comparisons are resolved.</x:v>
      </x:c>
      <x:c r="G23" s="65" t="str">
        <x:v>LIMITED is expected until proxy facilities, source hashes, the FCFF/annual forecast bridge, EV-to-equity data and extreme scenario comparisons are resolved.</x:v>
      </x:c>
    </x:row>
  </x:sheetData>
  <x:mergeCells>
    <x:mergeCell ref="A1:G1"/>
    <x:mergeCell ref="A2:G2"/>
    <x:mergeCell ref="A23:B23"/>
    <x:mergeCell ref="C23:D23"/>
    <x:mergeCell ref="E23:G23"/>
  </x:mergeCells>
  <x:conditionalFormatting sqref="F5:F21">
    <x:cfRule type="containsText" dxfId="45" priority="1" operator="containsText" text="OK"/>
    <x:cfRule type="containsText" dxfId="46" priority="2" operator="containsText" text="RANKABLE"/>
    <x:cfRule type="containsText" dxfId="47" priority="3" operator="containsText" text="CAUTION"/>
    <x:cfRule type="containsText" dxfId="48" priority="4" operator="containsText" text="WARN"/>
    <x:cfRule type="containsText" dxfId="49" priority="5" operator="containsText" text="EXCLUDE"/>
    <x:cfRule type="containsText" dxfId="50" priority="6" operator="containsText" text="FAIL"/>
    <x:cfRule type="containsText" dxfId="51" priority="7" operator="containsText" text="LIMITED"/>
  </x:conditionalFormatting>
  <x:conditionalFormatting sqref="C23:D23">
    <x:cfRule type="containsText" dxfId="52" priority="8" operator="containsText" text="OK"/>
    <x:cfRule type="containsText" dxfId="53" priority="9" operator="containsText" text="RANKABLE"/>
    <x:cfRule type="containsText" dxfId="54" priority="10" operator="containsText" text="CAUTION"/>
    <x:cfRule type="containsText" dxfId="55" priority="11" operator="containsText" text="WARN"/>
    <x:cfRule type="containsText" dxfId="56" priority="12" operator="containsText" text="EXCLUDE"/>
    <x:cfRule type="containsText" dxfId="57" priority="13" operator="containsText" text="FAIL"/>
    <x:cfRule type="containsText" dxfId="58" priority="14" operator="containsText" text="LIMITED"/>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38" hidden="0" customWidth="1"/>
    <x:col min="3" max="3" width="52" hidden="0" customWidth="1"/>
    <x:col min="4" max="4" width="28" hidden="0" customWidth="1"/>
    <x:col min="5" max="5" width="58" hidden="0" customWidth="1"/>
    <x:col min="6" max="6" width="68" hidden="0" customWidth="1"/>
    <x:col min="7" max="7" width="16" hidden="0" customWidth="1"/>
    <x:col min="8" max="8" width="16" hidden="0" customWidth="1"/>
  </x:cols>
  <x:sheetData>
    <x:row r="1" ht="30" customHeight="1">
      <x:c r="A1" s="18" t="str">
        <x:v>Sources / Audit</x:v>
      </x:c>
      <x:c r="B1" s="18" t="str">
        <x:v>Sources / Audit</x:v>
      </x:c>
      <x:c r="C1" s="18" t="str">
        <x:v>Sources / Audit</x:v>
      </x:c>
      <x:c r="D1" s="18" t="str">
        <x:v>Sources / Audit</x:v>
      </x:c>
      <x:c r="E1" s="18" t="str">
        <x:v>Sources / Audit</x:v>
      </x:c>
      <x:c r="F1" s="18" t="str">
        <x:v>Sources / Audit</x:v>
      </x:c>
      <x:c r="G1" s="18" t="str">
        <x:v>Sources / Audit</x:v>
      </x:c>
    </x:row>
    <x:row r="2" ht="28" customHeight="1">
      <x:c r="A2" s="22" t="str">
        <x:v>Source URLs are carried from the supplied model_source_audit.csv. Completeness checks whether the local raw path and SHA-256 fields needed for a reproducible release are populated.</x:v>
      </x:c>
      <x:c r="B2" s="22" t="str">
        <x:v>Source URLs are carried from the supplied model_source_audit.csv. Completeness checks whether the local raw path and SHA-256 fields needed for a reproducible release are populated.</x:v>
      </x:c>
      <x:c r="C2" s="22" t="str">
        <x:v>Source URLs are carried from the supplied model_source_audit.csv. Completeness checks whether the local raw path and SHA-256 fields needed for a reproducible release are populated.</x:v>
      </x:c>
      <x:c r="D2" s="22" t="str">
        <x:v>Source URLs are carried from the supplied model_source_audit.csv. Completeness checks whether the local raw path and SHA-256 fields needed for a reproducible release are populated.</x:v>
      </x:c>
      <x:c r="E2" s="22" t="str">
        <x:v>Source URLs are carried from the supplied model_source_audit.csv. Completeness checks whether the local raw path and SHA-256 fields needed for a reproducible release are populated.</x:v>
      </x:c>
      <x:c r="F2" s="22" t="str">
        <x:v>Source URLs are carried from the supplied model_source_audit.csv. Completeness checks whether the local raw path and SHA-256 fields needed for a reproducible release are populated.</x:v>
      </x:c>
      <x:c r="G2" s="22" t="str">
        <x:v>Source URLs are carried from the supplied model_source_audit.csv. Completeness checks whether the local raw path and SHA-256 fields needed for a reproducible release are populated.</x:v>
      </x:c>
    </x:row>
    <x:row r="4">
      <x:c r="A4" s="7" t="str">
        <x:v>release_id</x:v>
      </x:c>
      <x:c r="B4" s="7" t="str">
        <x:v>source</x:v>
      </x:c>
      <x:c r="C4" s="7" t="str">
        <x:v>url</x:v>
      </x:c>
      <x:c r="D4" s="7" t="str">
        <x:v>allowed_use</x:v>
      </x:c>
      <x:c r="E4" s="7" t="str">
        <x:v>raw_path</x:v>
      </x:c>
      <x:c r="F4" s="7" t="str">
        <x:v>sha256</x:v>
      </x:c>
      <x:c r="G4" s="7" t="str">
        <x:v>Completeness</x:v>
      </x:c>
    </x:row>
    <x:row r="5">
      <x:c r="A5" s="28" t="str">
        <x:v>CFP-2026-003-R17-20260804T234500Z</x:v>
      </x:c>
      <x:c r="B5" s="42" t="str">
        <x:v>Apple 2025 Environmental Progress Report</x:v>
      </x:c>
      <x:c r="C5" s="89" t="str">
        <x:v>https://www.apple.com/environment/pdf/Apple_Environmental_Progress_Report_2025.pdf</x:v>
      </x:c>
      <x:c r="D5" s="42" t="str">
        <x:v>issuer-reported climate evidence</x:v>
      </x:c>
      <x:c r="E5" s="42" t="str">
        <x:v>data/releases/CFP-2026-003-R17-20260804T234500Z/raw/issuer_reports/apple.pdf</x:v>
      </x:c>
      <x:c r="F5" s="42" t="str">
        <x:v>597676e8b48ac45529303abc7ef47425ca62ff4efc3a375962a077a033525f74</x:v>
      </x:c>
      <x:c r="G5" s="85" t="str">
        <x:f>IF(OR(E5="",F5=""),"INCOMPLETE","COMPLETE")</x:f>
        <x:v>COMPLETE</x:v>
      </x:c>
    </x:row>
    <x:row r="6">
      <x:c r="A6" s="29" t="str">
        <x:v>CFP-2026-003-R17-20260804T234500Z</x:v>
      </x:c>
      <x:c r="B6" s="43" t="str">
        <x:v>Caterpillar 2025 Sustainability Report</x:v>
      </x:c>
      <x:c r="C6" s="90" t="str">
        <x:v>https://s7d2.scene7.com/is/content/Caterpillar/CM20260508-cac43-ec231</x:v>
      </x:c>
      <x:c r="D6" s="43" t="str">
        <x:v>issuer-reported climate evidence</x:v>
      </x:c>
      <x:c r="E6" s="43" t="str">
        <x:v>data/releases/CFP-2026-003-R17-20260804T234500Z/raw/issuer_reports/cat-data.pdf</x:v>
      </x:c>
      <x:c r="F6" s="43" t="str">
        <x:v>2389b874742b4a3b274292f5caa60152648ff99e1140513d4fdee88fd3ddb52e</x:v>
      </x:c>
      <x:c r="G6" s="86" t="str">
        <x:f>IF(OR(E6="",F6=""),"INCOMPLETE","COMPLETE")</x:f>
        <x:v>COMPLETE</x:v>
      </x:c>
    </x:row>
    <x:row r="7">
      <x:c r="A7" s="29" t="str">
        <x:v>CFP-2026-003-R17-20260804T234500Z</x:v>
      </x:c>
      <x:c r="B7" s="43" t="str">
        <x:v>Chevron 2024 GHG Assurance Statement</x:v>
      </x:c>
      <x:c r="C7" s="90" t="str">
        <x:v>https://www.chevron.com/-/media/chevron/sustainability/documents/ghg-Assurance-Statement-2024.pdf</x:v>
      </x:c>
      <x:c r="D7" s="43" t="str">
        <x:v>issuer-reported climate evidence</x:v>
      </x:c>
      <x:c r="E7" s="43"/>
      <x:c r="F7" s="43"/>
      <x:c r="G7" s="86" t="str">
        <x:f>IF(OR(E7="",F7=""),"INCOMPLETE","COMPLETE")</x:f>
        <x:v>INCOMPLETE</x:v>
      </x:c>
    </x:row>
    <x:row r="8">
      <x:c r="A8" s="29" t="str">
        <x:v>CFP-2026-003-R17-20260804T234500Z</x:v>
      </x:c>
      <x:c r="B8" s="43" t="str">
        <x:v>Deere 2024 Sustainability Disclosure</x:v>
      </x:c>
      <x:c r="C8" s="90" t="str">
        <x:v>https://www.deere.com/assets/pdfs/common/our-company/sustainability/data-book-2024.pdf</x:v>
      </x:c>
      <x:c r="D8" s="43" t="str">
        <x:v>issuer-reported climate evidence</x:v>
      </x:c>
      <x:c r="E8" s="43" t="str">
        <x:v>data/releases/CFP-2026-003-R17-20260804T234500Z/raw/issuer_reports/deere-2024.pdf</x:v>
      </x:c>
      <x:c r="F8" s="43" t="str">
        <x:v>8305e6d952db8e0494c3081c977311819eeb022735a3fc0179d0f8c9ed56fffe</x:v>
      </x:c>
      <x:c r="G8" s="86" t="str">
        <x:f>IF(OR(E8="",F8=""),"INCOMPLETE","COMPLETE")</x:f>
        <x:v>COMPLETE</x:v>
      </x:c>
    </x:row>
    <x:row r="9">
      <x:c r="A9" s="29" t="str">
        <x:v>CFP-2026-003-R17-20260804T234500Z</x:v>
      </x:c>
      <x:c r="B9" s="43" t="str">
        <x:v>Duke Energy 2025 Sustainability Metrics</x:v>
      </x:c>
      <x:c r="C9" s="90" t="str">
        <x:v>https://s201.q4cdn.com/583395453/files/doc_downloads/2026/2025-Sustainability-Metrics-Center.pdf</x:v>
      </x:c>
      <x:c r="D9" s="43" t="str">
        <x:v>issuer-reported climate evidence</x:v>
      </x:c>
      <x:c r="E9" s="43" t="str">
        <x:v>data/releases/CFP-2026-003-R17-20260804T234500Z/raw/issuer_reports/duk-metrics.pdf</x:v>
      </x:c>
      <x:c r="F9" s="43" t="str">
        <x:v>6504844f93ae951a006b5495fb2120fc5cb2af5d6fb5c7f60f19f9d558898213</x:v>
      </x:c>
      <x:c r="G9" s="86" t="str">
        <x:f>IF(OR(E9="",F9=""),"INCOMPLETE","COMPLETE")</x:f>
        <x:v>COMPLETE</x:v>
      </x:c>
    </x:row>
    <x:row r="10">
      <x:c r="A10" s="29" t="str">
        <x:v>CFP-2026-003-R17-20260804T234500Z</x:v>
      </x:c>
      <x:c r="B10" s="43" t="str">
        <x:v>Microsoft 2025 Environmental Data Fact Sheet</x:v>
      </x:c>
      <x:c r="C10" s="90" t="str">
        <x:v>https://aka.ms/SustainabilityFactsheet2025</x:v>
      </x:c>
      <x:c r="D10" s="43" t="str">
        <x:v>issuer-reported climate evidence</x:v>
      </x:c>
      <x:c r="E10" s="43" t="str">
        <x:v>data/releases/CFP-2026-003-R17-20260804T234500Z/raw/issuer_reports/microsoft-fact-sheet.pdf</x:v>
      </x:c>
      <x:c r="F10" s="43" t="str">
        <x:v>9283b1e85005a050fb7732c2eb25da6918bf46cafe5e6903d81063c81f466174</x:v>
      </x:c>
      <x:c r="G10" s="86" t="str">
        <x:f>IF(OR(E10="",F10=""),"INCOMPLETE","COMPLETE")</x:f>
        <x:v>COMPLETE</x:v>
      </x:c>
    </x:row>
    <x:row r="11">
      <x:c r="A11" s="29" t="str">
        <x:v>CFP-2026-003-R17-20260804T234500Z</x:v>
      </x:c>
      <x:c r="B11" s="43" t="str">
        <x:v>NextEra Energy 2025 Data Appendix</x:v>
      </x:c>
      <x:c r="C11" s="90" t="str">
        <x:v>https://www.investor.nexteraenergy.com/~/media/Files/N/NEE-IR/Sustainability/2025/Data%20Appendix.pdf</x:v>
      </x:c>
      <x:c r="D11" s="43" t="str">
        <x:v>issuer-reported climate evidence</x:v>
      </x:c>
      <x:c r="E11" s="43" t="str">
        <x:v>data/releases/CFP-2026-003-R17-20260804T234500Z/raw/issuer_reports/nextera.pdf</x:v>
      </x:c>
      <x:c r="F11" s="43" t="str">
        <x:v>f544037674f10f3543698d57168fa483438aa490623c864e8afb9a7565b8d320</x:v>
      </x:c>
      <x:c r="G11" s="86" t="str">
        <x:f>IF(OR(E11="",F11=""),"INCOMPLETE","COMPLETE")</x:f>
        <x:v>COMPLETE</x:v>
      </x:c>
    </x:row>
    <x:row r="12">
      <x:c r="A12" s="29" t="str">
        <x:v>CFP-2026-003-R17-20260804T234500Z</x:v>
      </x:c>
      <x:c r="B12" s="43" t="str">
        <x:v>ExxonMobil 2025 Advancing Climate Solutions</x:v>
      </x:c>
      <x:c r="C12" s="90" t="str">
        <x:v>https://corporate.exxonmobil.com/-/media/global/files/advancing-climate-solutions/2025/advancing-climate-solutions-report.pdf</x:v>
      </x:c>
      <x:c r="D12" s="43" t="str">
        <x:v>issuer-reported climate evidence</x:v>
      </x:c>
      <x:c r="E12" s="43" t="str">
        <x:v>data/releases/CFP-2026-003-R17-20260804T234500Z/raw/issuer_reports/exxon-2025.pdf</x:v>
      </x:c>
      <x:c r="F12" s="43" t="str">
        <x:v>9789adf26cfade347df72b4e6387d3c4a95e38c49ad97f97d888d82274cabd6c</x:v>
      </x:c>
      <x:c r="G12" s="86" t="str">
        <x:f>IF(OR(E12="",F12=""),"INCOMPLETE","COMPLETE")</x:f>
        <x:v>COMPLETE</x:v>
      </x:c>
    </x:row>
    <x:row r="13">
      <x:c r="A13" s="29" t="str">
        <x:v>CFP-2026-003-R17-20260804T234500Z</x:v>
      </x:c>
      <x:c r="B13" s="43" t="str">
        <x:v>SEC Companyfacts</x:v>
      </x:c>
      <x:c r="C13" s="90" t="str">
        <x:v>https://data.sec.gov/api/xbrl/companyfacts/</x:v>
      </x:c>
      <x:c r="D13" s="43" t="str">
        <x:v>issuer net PP&amp;E exposure base</x:v>
      </x:c>
      <x:c r="E13" s="43"/>
      <x:c r="F13" s="43"/>
      <x:c r="G13" s="86" t="str">
        <x:f>IF(OR(E13="",F13=""),"INCOMPLETE","COMPLETE")</x:f>
        <x:v>INCOMPLETE</x:v>
      </x:c>
    </x:row>
    <x:row r="14">
      <x:c r="A14" s="29" t="str">
        <x:v>CFP-2026-003-R17-20260804T234500Z</x:v>
      </x:c>
      <x:c r="B14" s="43" t="str">
        <x:v>FEMA National Risk Index</x:v>
      </x:c>
      <x:c r="C14" s="90" t="str">
        <x:v>https://services.arcgis.com/XG15cJAlne2vxtgt/arcgis/rest/services/National_Risk_Index_Counties/FeatureServer/0</x:v>
      </x:c>
      <x:c r="D14" s="43" t="str">
        <x:v>county building expected annual loss rate</x:v>
      </x:c>
      <x:c r="E14" s="43"/>
      <x:c r="F14" s="43"/>
      <x:c r="G14" s="86" t="str">
        <x:f>IF(OR(E14="",F14=""),"INCOMPLETE","COMPLETE")</x:f>
        <x:v>INCOMPLETE</x:v>
      </x:c>
    </x:row>
    <x:row r="15">
      <x:c r="A15" s="29" t="str">
        <x:v>CFP-2026-003-R17-20260804T234500Z</x:v>
      </x:c>
      <x:c r="B15" s="43" t="str">
        <x:v>NGFS Climate Impact Explorer</x:v>
      </x:c>
      <x:c r="C15" s="90" t="str">
        <x:v>https://climate-impact-explorer.climateanalytics.org/data-download/</x:v>
      </x:c>
      <x:c r="D15" s="43" t="str">
        <x:v>scenario-conditioned chronic physical pathway</x:v>
      </x:c>
      <x:c r="E15" s="43"/>
      <x:c r="F15" s="43"/>
      <x:c r="G15" s="86" t="str">
        <x:f>IF(OR(E15="",F15=""),"INCOMPLETE","COMPLETE")</x:f>
        <x:v>INCOMPLETE</x:v>
      </x:c>
    </x:row>
  </x:sheetData>
  <x:mergeCells>
    <x:mergeCell ref="A1:G1"/>
    <x:mergeCell ref="A2:G2"/>
  </x:mergeCells>
  <x:conditionalFormatting sqref="G5:G15">
    <x:cfRule type="containsText" dxfId="38" priority="1" operator="containsText" text="OK"/>
    <x:cfRule type="containsText" dxfId="39" priority="2" operator="containsText" text="RANKABLE"/>
    <x:cfRule type="containsText" dxfId="40" priority="3" operator="containsText" text="CAUTION"/>
    <x:cfRule type="containsText" dxfId="41" priority="4" operator="containsText" text="WARN"/>
    <x:cfRule type="containsText" dxfId="42" priority="5" operator="containsText" text="EXCLUDE"/>
    <x:cfRule type="containsText" dxfId="43" priority="6" operator="containsText" text="FAIL"/>
    <x:cfRule type="containsText" dxfId="44" priority="7" operator="containsText" text="LIMITED"/>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8" hidden="0" customWidth="1"/>
    <x:col min="4" max="4" width="18" hidden="0" customWidth="1"/>
    <x:col min="5" max="5" width="14" hidden="0" customWidth="1"/>
    <x:col min="6" max="6" width="14" hidden="0" customWidth="1"/>
    <x:col min="7" max="7" width="14" hidden="0" customWidth="1"/>
    <x:col min="8" max="8" width="18" hidden="0" customWidth="1"/>
    <x:col min="9" max="9" width="12" hidden="0" customWidth="1"/>
    <x:col min="10" max="10" width="12" hidden="0" customWidth="1"/>
    <x:col min="11" max="11" width="16" hidden="0" customWidth="1"/>
    <x:col min="12" max="12" width="18" hidden="0" customWidth="1"/>
    <x:col min="13" max="13" width="42" hidden="0" customWidth="1"/>
  </x:cols>
  <x:sheetData>
    <x:row r="1" ht="42" customHeight="1">
      <x:c r="A1" s="7" t="str">
        <x:v>ticker</x:v>
      </x:c>
      <x:c r="B1" s="7" t="str">
        <x:v>sector</x:v>
      </x:c>
      <x:c r="C1" s="7" t="str">
        <x:v>release_id</x:v>
      </x:c>
      <x:c r="D1" s="7" t="str">
        <x:v>normalized_fcff_usd</x:v>
      </x:c>
      <x:c r="E1" s="7" t="str">
        <x:v>scope1_tco2e</x:v>
      </x:c>
      <x:c r="F1" s="7" t="str">
        <x:v>scope2_tco2e</x:v>
      </x:c>
      <x:c r="G1" s="7" t="str">
        <x:v>scope3_tco2e</x:v>
      </x:c>
      <x:c r="H1" s="7" t="str">
        <x:v>net_ppe_usd</x:v>
      </x:c>
      <x:c r="I1" s="7" t="str">
        <x:v>facility_count</x:v>
      </x:c>
      <x:c r="J1" s="7" t="str">
        <x:v>fema_eal_matches</x:v>
      </x:c>
      <x:c r="K1" s="7" t="str">
        <x:v>facility_match_coverage_pct</x:v>
      </x:c>
      <x:c r="L1" s="7" t="str">
        <x:v>physical_data_confidence</x:v>
      </x:c>
      <x:c r="M1" s="7" t="str">
        <x:v>physical_evidence_type</x:v>
      </x:c>
      <x:c r="N1" s="7" t="str">
        <x:v>fema_building_eal_rate_pct</x:v>
      </x:c>
      <x:c r="O1" s="7" t="str">
        <x:v>issuer_specific_fema_rate_pct</x:v>
      </x:c>
      <x:c r="P1" s="7" t="str">
        <x:v>wacc_pct</x:v>
      </x:c>
      <x:c r="Q1" s="7" t="str">
        <x:v>terminal_growth_pct</x:v>
      </x:c>
      <x:c r="R1" s="7" t="str">
        <x:v>policy_coverage</x:v>
      </x:c>
      <x:c r="S1" s="7" t="str">
        <x:v>pass_through</x:v>
      </x:c>
      <x:c r="T1" s="7" t="str">
        <x:v>scope2_cost_incidence</x:v>
      </x:c>
      <x:c r="U1" s="7" t="str">
        <x:v>scope3_value_chain_incidence</x:v>
      </x:c>
      <x:c r="V1" s="7" t="str">
        <x:v>annual_emissions_decline</x:v>
      </x:c>
      <x:c r="W1" s="7" t="str">
        <x:v>covered_ppe_share</x:v>
      </x:c>
      <x:c r="X1" s="7" t="str">
        <x:v>insurance_adaptation_recovery</x:v>
      </x:c>
      <x:c r="Y1" s="7" t="str">
        <x:v>labour_cost_share</x:v>
      </x:c>
      <x:c r="Z1" s="7" t="str">
        <x:v>labour_productivity_to_fcff</x:v>
      </x:c>
      <x:c r="AA1" s="7" t="str">
        <x:v>acute_scenario_factor</x:v>
      </x:c>
      <x:c r="AB1" s="7" t="str">
        <x:v>macro_cashflow_elasticity</x:v>
      </x:c>
      <x:c r="AC1" s="7" t="str">
        <x:v>macro_dependency_scale</x:v>
      </x:c>
      <x:c r="AD1" s="7" t="str">
        <x:v>macro_specificity</x:v>
      </x:c>
      <x:c r="AE1" s="7" t="str">
        <x:v>classification</x:v>
      </x:c>
    </x:row>
    <x:row r="2" ht="18" customHeight="1">
      <x:c r="A2" s="10" t="str">
        <x:v>AAPL</x:v>
      </x:c>
      <x:c r="B2" s="10" t="str">
        <x:v>Technology</x:v>
      </x:c>
      <x:c r="C2" s="10" t="str">
        <x:v>CFP-2026-003-R17-20260804T234500Z</x:v>
      </x:c>
      <x:c r="D2" s="12" t="n">
        <x:v>102784466009.31221</x:v>
      </x:c>
      <x:c r="E2" s="13" t="n">
        <x:v>55200</x:v>
      </x:c>
      <x:c r="F2" s="13" t="n">
        <x:v>3300</x:v>
      </x:c>
      <x:c r="G2" s="13" t="n">
        <x:v>15110000</x:v>
      </x:c>
      <x:c r="H2" s="12" t="n">
        <x:v>50159000000</x:v>
      </x:c>
      <x:c r="I2" s="13" t="n">
        <x:v>0</x:v>
      </x:c>
      <x:c r="J2" s="13" t="n">
        <x:v>0</x:v>
      </x:c>
      <x:c r="K2" s="14"/>
      <x:c r="L2" s="10" t="str">
        <x:v>Unverified</x:v>
      </x:c>
      <x:c r="M2" s="10" t="str">
        <x:v>Proxy fallback; no issuer facilities in governed match file</x:v>
      </x:c>
      <x:c r="N2" s="14" t="n">
        <x:v>0.18089619337783003</x:v>
      </x:c>
      <x:c r="O2" s="14"/>
      <x:c r="P2" s="14" t="n">
        <x:v>9.468635607765986</x:v>
      </x:c>
      <x:c r="Q2" s="14" t="n">
        <x:v>2.5</x:v>
      </x:c>
      <x:c r="R2" s="10" t="n">
        <x:v>0.75</x:v>
      </x:c>
      <x:c r="S2" s="10" t="n">
        <x:v>0.5</x:v>
      </x:c>
      <x:c r="T2" s="10" t="n">
        <x:v>0.5</x:v>
      </x:c>
      <x:c r="U2" s="10" t="n">
        <x:v>0.02</x:v>
      </x:c>
      <x:c r="V2" s="10" t="n">
        <x:v>0.03</x:v>
      </x:c>
      <x:c r="W2" s="10" t="n">
        <x:v>0.1</x:v>
      </x:c>
      <x:c r="X2" s="10" t="n">
        <x:v>0.5</x:v>
      </x:c>
      <x:c r="Y2" s="10" t="n">
        <x:v>0.1</x:v>
      </x:c>
      <x:c r="Z2" s="10" t="n">
        <x:v>0.25</x:v>
      </x:c>
      <x:c r="AA2" s="10" t="n">
        <x:v>1</x:v>
      </x:c>
      <x:c r="AB2" s="10" t="n">
        <x:v>0.6</x:v>
      </x:c>
      <x:c r="AC2" s="10" t="n">
        <x:v>0.6140542867906926</x:v>
      </x:c>
      <x:c r="AD2" s="10" t="str">
        <x:v>Common scenario elasticity + issuer SEC CapEx/CFO dependency scale</x:v>
      </x:c>
      <x:c r="AE2" s="10" t="str">
        <x:v>Modeled estimate using observed inputs + disclosed assumptions</x:v>
      </x:c>
    </x:row>
    <x:row r="3" ht="18" customHeight="1">
      <x:c r="A3" s="10" t="str">
        <x:v>CAT</x:v>
      </x:c>
      <x:c r="B3" s="10" t="str">
        <x:v>Industrials</x:v>
      </x:c>
      <x:c r="C3" s="10" t="str">
        <x:v>CFP-2026-003-R17-20260804T234500Z</x:v>
      </x:c>
      <x:c r="D3" s="12" t="n">
        <x:v>10636693843.707409</x:v>
      </x:c>
      <x:c r="E3" s="13" t="n">
        <x:v>680000</x:v>
      </x:c>
      <x:c r="F3" s="13" t="n">
        <x:v>690000</x:v>
      </x:c>
      <x:c r="G3" s="13" t="n">
        <x:v>680000000</x:v>
      </x:c>
      <x:c r="H3" s="12" t="n">
        <x:v>15140000000</x:v>
      </x:c>
      <x:c r="I3" s="13" t="n">
        <x:v>7</x:v>
      </x:c>
      <x:c r="J3" s="13" t="n">
        <x:v>7</x:v>
      </x:c>
      <x:c r="K3" s="14" t="n">
        <x:v>100</x:v>
      </x:c>
      <x:c r="L3" s="10" t="str">
        <x:v>High</x:v>
      </x:c>
      <x:c r="M3" s="10" t="str">
        <x:v>Issuer facility-to-FEMA county match</x:v>
      </x:c>
      <x:c r="N3" s="14" t="n">
        <x:v>0.1250652491518801</x:v>
      </x:c>
      <x:c r="O3" s="14" t="n">
        <x:v>0.1250652491518801</x:v>
      </x:c>
      <x:c r="P3" s="14" t="n">
        <x:v>11.136677389433892</x:v>
      </x:c>
      <x:c r="Q3" s="14" t="n">
        <x:v>2.1999999999999997</x:v>
      </x:c>
      <x:c r="R3" s="10" t="n">
        <x:v>0.75</x:v>
      </x:c>
      <x:c r="S3" s="10" t="n">
        <x:v>0.5</x:v>
      </x:c>
      <x:c r="T3" s="10" t="n">
        <x:v>0.5</x:v>
      </x:c>
      <x:c r="U3" s="10" t="n">
        <x:v>0.008</x:v>
      </x:c>
      <x:c r="V3" s="10" t="n">
        <x:v>0.03</x:v>
      </x:c>
      <x:c r="W3" s="10" t="n">
        <x:v>0.25</x:v>
      </x:c>
      <x:c r="X3" s="10" t="n">
        <x:v>0.5</x:v>
      </x:c>
      <x:c r="Y3" s="10" t="n">
        <x:v>0.1</x:v>
      </x:c>
      <x:c r="Z3" s="10" t="n">
        <x:v>0.25</x:v>
      </x:c>
      <x:c r="AA3" s="10" t="n">
        <x:v>1</x:v>
      </x:c>
      <x:c r="AB3" s="10" t="n">
        <x:v>0.6</x:v>
      </x:c>
      <x:c r="AC3" s="10" t="n">
        <x:v>0.7403100775193798</x:v>
      </x:c>
      <x:c r="AD3" s="10" t="str">
        <x:v>Common scenario elasticity + issuer SEC CapEx/CFO dependency scale</x:v>
      </x:c>
      <x:c r="AE3" s="10" t="str">
        <x:v>Modeled estimate using observed inputs + disclosed assumptions</x:v>
      </x:c>
    </x:row>
    <x:row r="4" ht="18" customHeight="1">
      <x:c r="A4" s="10" t="str">
        <x:v>CVX</x:v>
      </x:c>
      <x:c r="B4" s="10" t="str">
        <x:v>Energy</x:v>
      </x:c>
      <x:c r="C4" s="10" t="str">
        <x:v>CFP-2026-003-R17-20260804T234500Z</x:v>
      </x:c>
      <x:c r="D4" s="12" t="n">
        <x:v>18142230456.32</x:v>
      </x:c>
      <x:c r="E4" s="13" t="n">
        <x:v>54000000</x:v>
      </x:c>
      <x:c r="F4" s="13" t="n">
        <x:v>4000000</x:v>
      </x:c>
      <x:c r="G4" s="13" t="n">
        <x:v>432000000</x:v>
      </x:c>
      <x:c r="H4" s="12" t="n">
        <x:v>219729000000</x:v>
      </x:c>
      <x:c r="I4" s="13" t="n">
        <x:v>53</x:v>
      </x:c>
      <x:c r="J4" s="13" t="n">
        <x:v>34</x:v>
      </x:c>
      <x:c r="K4" s="14" t="n">
        <x:v>64.15094339622641</x:v>
      </x:c>
      <x:c r="L4" s="10" t="str">
        <x:v>Medium</x:v>
      </x:c>
      <x:c r="M4" s="10" t="str">
        <x:v>Issuer facility-to-FEMA county match</x:v>
      </x:c>
      <x:c r="N4" s="14" t="n">
        <x:v>0.31761728843062803</x:v>
      </x:c>
      <x:c r="O4" s="14" t="n">
        <x:v>0.31761728843062803</x:v>
      </x:c>
      <x:c r="P4" s="14" t="n">
        <x:v>6.7034090248596065</x:v>
      </x:c>
      <x:c r="Q4" s="14" t="n">
        <x:v>1.7999999999999998</x:v>
      </x:c>
      <x:c r="R4" s="10" t="n">
        <x:v>0.75</x:v>
      </x:c>
      <x:c r="S4" s="10" t="n">
        <x:v>0.5</x:v>
      </x:c>
      <x:c r="T4" s="10" t="n">
        <x:v>0.5</x:v>
      </x:c>
      <x:c r="U4" s="10" t="n">
        <x:v>0.003</x:v>
      </x:c>
      <x:c r="V4" s="10" t="n">
        <x:v>0.03</x:v>
      </x:c>
      <x:c r="W4" s="10" t="n">
        <x:v>0.45</x:v>
      </x:c>
      <x:c r="X4" s="10" t="n">
        <x:v>0.5</x:v>
      </x:c>
      <x:c r="Y4" s="10" t="n">
        <x:v>0.1</x:v>
      </x:c>
      <x:c r="Z4" s="10" t="n">
        <x:v>0.25</x:v>
      </x:c>
      <x:c r="AA4" s="10" t="n">
        <x:v>1</x:v>
      </x:c>
      <x:c r="AB4" s="10" t="n">
        <x:v>0.6</x:v>
      </x:c>
      <x:c r="AC4" s="10" t="n">
        <x:v>1.0111228969621968</x:v>
      </x:c>
      <x:c r="AD4" s="10" t="str">
        <x:v>Common scenario elasticity + issuer SEC CapEx/CFO dependency scale</x:v>
      </x:c>
      <x:c r="AE4" s="10" t="str">
        <x:v>Modeled estimate using observed inputs + disclosed assumptions</x:v>
      </x:c>
    </x:row>
    <x:row r="5" ht="18" customHeight="1">
      <x:c r="A5" s="10" t="str">
        <x:v>DE</x:v>
      </x:c>
      <x:c r="B5" s="10" t="str">
        <x:v>Industrials</x:v>
      </x:c>
      <x:c r="C5" s="10" t="str">
        <x:v>CFP-2026-003-R17-20260804T234500Z</x:v>
      </x:c>
      <x:c r="D5" s="12" t="n">
        <x:v>8631149592.456448</x:v>
      </x:c>
      <x:c r="E5" s="13" t="n">
        <x:v>353900</x:v>
      </x:c>
      <x:c r="F5" s="13" t="n">
        <x:v>224000</x:v>
      </x:c>
      <x:c r="G5" s="13" t="n">
        <x:v>81736000</x:v>
      </x:c>
      <x:c r="H5" s="12" t="n">
        <x:v>8079000000</x:v>
      </x:c>
      <x:c r="I5" s="13" t="n">
        <x:v>1</x:v>
      </x:c>
      <x:c r="J5" s="13" t="n">
        <x:v>1</x:v>
      </x:c>
      <x:c r="K5" s="14" t="n">
        <x:v>100</x:v>
      </x:c>
      <x:c r="L5" s="10" t="str">
        <x:v>High</x:v>
      </x:c>
      <x:c r="M5" s="10" t="str">
        <x:v>Issuer facility-to-FEMA county match</x:v>
      </x:c>
      <x:c r="N5" s="14" t="n">
        <x:v>0.1054287290454164</x:v>
      </x:c>
      <x:c r="O5" s="14" t="n">
        <x:v>0.1054287290454164</x:v>
      </x:c>
      <x:c r="P5" s="14" t="n">
        <x:v>7.853230639934694</x:v>
      </x:c>
      <x:c r="Q5" s="14" t="n">
        <x:v>2.1999999999999997</x:v>
      </x:c>
      <x:c r="R5" s="10" t="n">
        <x:v>0.75</x:v>
      </x:c>
      <x:c r="S5" s="10" t="n">
        <x:v>0.5</x:v>
      </x:c>
      <x:c r="T5" s="10" t="n">
        <x:v>0.5</x:v>
      </x:c>
      <x:c r="U5" s="10" t="n">
        <x:v>0.008</x:v>
      </x:c>
      <x:c r="V5" s="10" t="n">
        <x:v>0.03</x:v>
      </x:c>
      <x:c r="W5" s="10" t="n">
        <x:v>0.25</x:v>
      </x:c>
      <x:c r="X5" s="10" t="n">
        <x:v>0.5</x:v>
      </x:c>
      <x:c r="Y5" s="10" t="n">
        <x:v>0.1</x:v>
      </x:c>
      <x:c r="Z5" s="10" t="n">
        <x:v>0.25</x:v>
      </x:c>
      <x:c r="AA5" s="10" t="n">
        <x:v>1</x:v>
      </x:c>
      <x:c r="AB5" s="10" t="n">
        <x:v>0.6</x:v>
      </x:c>
      <x:c r="AC5" s="10" t="n">
        <x:v>0.6823300710551012</x:v>
      </x:c>
      <x:c r="AD5" s="10" t="str">
        <x:v>Common scenario elasticity + issuer SEC CapEx/CFO dependency scale</x:v>
      </x:c>
      <x:c r="AE5" s="10" t="str">
        <x:v>Modeled estimate using observed inputs + disclosed assumptions</x:v>
      </x:c>
    </x:row>
    <x:row r="6" ht="18" customHeight="1">
      <x:c r="A6" s="10" t="str">
        <x:v>DUK</x:v>
      </x:c>
      <x:c r="B6" s="10" t="str">
        <x:v>Utilities</x:v>
      </x:c>
      <x:c r="C6" s="10" t="str">
        <x:v>CFP-2026-003-R17-20260804T234500Z</x:v>
      </x:c>
      <x:c r="D6" s="12" t="n">
        <x:v>1531556722.6890755</x:v>
      </x:c>
      <x:c r="E6" s="13" t="n">
        <x:v>79756000</x:v>
      </x:c>
      <x:c r="F6" s="13" t="n">
        <x:v>254000</x:v>
      </x:c>
      <x:c r="G6" s="13" t="n">
        <x:v>27607700</x:v>
      </x:c>
      <x:c r="H6" s="12" t="n">
        <x:v>129959000000</x:v>
      </x:c>
      <x:c r="I6" s="13" t="n">
        <x:v>49</x:v>
      </x:c>
      <x:c r="J6" s="13" t="n">
        <x:v>48</x:v>
      </x:c>
      <x:c r="K6" s="14" t="n">
        <x:v>97.95918367346938</x:v>
      </x:c>
      <x:c r="L6" s="10" t="str">
        <x:v>High</x:v>
      </x:c>
      <x:c r="M6" s="10" t="str">
        <x:v>Issuer facility-to-FEMA county match</x:v>
      </x:c>
      <x:c r="N6" s="14" t="n">
        <x:v>0.17565995555046018</x:v>
      </x:c>
      <x:c r="O6" s="14" t="n">
        <x:v>0.17565995555046018</x:v>
      </x:c>
      <x:c r="P6" s="14" t="n">
        <x:v>5.116136979477691</x:v>
      </x:c>
      <x:c r="Q6" s="14" t="n">
        <x:v>2</x:v>
      </x:c>
      <x:c r="R6" s="10" t="n">
        <x:v>0.75</x:v>
      </x:c>
      <x:c r="S6" s="10" t="n">
        <x:v>0.5</x:v>
      </x:c>
      <x:c r="T6" s="10" t="n">
        <x:v>0.5</x:v>
      </x:c>
      <x:c r="U6" s="10" t="n">
        <x:v>0.005</x:v>
      </x:c>
      <x:c r="V6" s="10" t="n">
        <x:v>0.03</x:v>
      </x:c>
      <x:c r="W6" s="10" t="n">
        <x:v>0.65</x:v>
      </x:c>
      <x:c r="X6" s="10" t="n">
        <x:v>0.5</x:v>
      </x:c>
      <x:c r="Y6" s="10" t="n">
        <x:v>0.1</x:v>
      </x:c>
      <x:c r="Z6" s="10" t="n">
        <x:v>0.25</x:v>
      </x:c>
      <x:c r="AA6" s="10" t="n">
        <x:v>1</x:v>
      </x:c>
      <x:c r="AB6" s="10" t="n">
        <x:v>0.6</x:v>
      </x:c>
      <x:c r="AC6" s="10" t="n">
        <x:v>1.6373884833738848</x:v>
      </x:c>
      <x:c r="AD6" s="10" t="str">
        <x:v>Common scenario elasticity + issuer SEC CapEx/CFO dependency scale</x:v>
      </x:c>
      <x:c r="AE6" s="10" t="str">
        <x:v>Modeled estimate using observed inputs + disclosed assumptions</x:v>
      </x:c>
    </x:row>
    <x:row r="7" ht="18" customHeight="1">
      <x:c r="A7" s="10" t="str">
        <x:v>MSFT</x:v>
      </x:c>
      <x:c r="B7" s="10" t="str">
        <x:v>Technology</x:v>
      </x:c>
      <x:c r="C7" s="10" t="str">
        <x:v>CFP-2026-003-R17-20260804T234500Z</x:v>
      </x:c>
      <x:c r="D7" s="12" t="n">
        <x:v>73477040696.4498</x:v>
      </x:c>
      <x:c r="E7" s="13" t="n">
        <x:v>143510</x:v>
      </x:c>
      <x:c r="F7" s="13" t="n">
        <x:v>259090</x:v>
      </x:c>
      <x:c r="G7" s="13" t="n">
        <x:v>15140000</x:v>
      </x:c>
      <x:c r="H7" s="12" t="n">
        <x:v>261126000000</x:v>
      </x:c>
      <x:c r="I7" s="13" t="n">
        <x:v>0</x:v>
      </x:c>
      <x:c r="J7" s="13" t="n">
        <x:v>0</x:v>
      </x:c>
      <x:c r="K7" s="14"/>
      <x:c r="L7" s="10" t="str">
        <x:v>Unverified</x:v>
      </x:c>
      <x:c r="M7" s="10" t="str">
        <x:v>Proxy fallback; no issuer facilities in governed match file</x:v>
      </x:c>
      <x:c r="N7" s="14" t="n">
        <x:v>0.18089619337783003</x:v>
      </x:c>
      <x:c r="O7" s="14"/>
      <x:c r="P7" s="14" t="n">
        <x:v>9.627276973766637</x:v>
      </x:c>
      <x:c r="Q7" s="14" t="n">
        <x:v>2.5</x:v>
      </x:c>
      <x:c r="R7" s="10" t="n">
        <x:v>0.75</x:v>
      </x:c>
      <x:c r="S7" s="10" t="n">
        <x:v>0.5</x:v>
      </x:c>
      <x:c r="T7" s="10" t="n">
        <x:v>0.5</x:v>
      </x:c>
      <x:c r="U7" s="10" t="n">
        <x:v>0.02</x:v>
      </x:c>
      <x:c r="V7" s="10" t="n">
        <x:v>0.03</x:v>
      </x:c>
      <x:c r="W7" s="10" t="n">
        <x:v>0.1</x:v>
      </x:c>
      <x:c r="X7" s="10" t="n">
        <x:v>0.5</x:v>
      </x:c>
      <x:c r="Y7" s="10" t="n">
        <x:v>0.1</x:v>
      </x:c>
      <x:c r="Z7" s="10" t="n">
        <x:v>0.25</x:v>
      </x:c>
      <x:c r="AA7" s="10" t="n">
        <x:v>1</x:v>
      </x:c>
      <x:c r="AB7" s="10" t="n">
        <x:v>0.6</x:v>
      </x:c>
      <x:c r="AC7" s="10" t="n">
        <x:v>0.974074998898371</x:v>
      </x:c>
      <x:c r="AD7" s="10" t="str">
        <x:v>Common scenario elasticity + issuer SEC CapEx/CFO dependency scale</x:v>
      </x:c>
      <x:c r="AE7" s="10" t="str">
        <x:v>Modeled estimate using observed inputs + disclosed assumptions</x:v>
      </x:c>
    </x:row>
    <x:row r="8" ht="18" customHeight="1">
      <x:c r="A8" s="10" t="str">
        <x:v>NEE</x:v>
      </x:c>
      <x:c r="B8" s="10" t="str">
        <x:v>Utilities</x:v>
      </x:c>
      <x:c r="C8" s="10" t="str">
        <x:v>CFP-2026-003-R17-20260804T234500Z</x:v>
      </x:c>
      <x:c r="D8" s="12" t="n">
        <x:v>9879440000</x:v>
      </x:c>
      <x:c r="E8" s="13" t="n">
        <x:v>43409916.37</x:v>
      </x:c>
      <x:c r="F8" s="13" t="n">
        <x:v>25603</x:v>
      </x:c>
      <x:c r="G8" s="13" t="n">
        <x:v>65222.95</x:v>
      </x:c>
      <x:c r="H8" s="12" t="n">
        <x:v>156197000000</x:v>
      </x:c>
      <x:c r="I8" s="13" t="n">
        <x:v>27</x:v>
      </x:c>
      <x:c r="J8" s="13" t="n">
        <x:v>23</x:v>
      </x:c>
      <x:c r="K8" s="14" t="n">
        <x:v>85.18518518518519</x:v>
      </x:c>
      <x:c r="L8" s="10" t="str">
        <x:v>High</x:v>
      </x:c>
      <x:c r="M8" s="10" t="str">
        <x:v>Issuer facility-to-FEMA county match</x:v>
      </x:c>
      <x:c r="N8" s="14" t="n">
        <x:v>0.25009029941509914</x:v>
      </x:c>
      <x:c r="O8" s="14" t="n">
        <x:v>0.25009029941509914</x:v>
      </x:c>
      <x:c r="P8" s="14" t="n">
        <x:v>6.849686675720218</x:v>
      </x:c>
      <x:c r="Q8" s="14" t="n">
        <x:v>2</x:v>
      </x:c>
      <x:c r="R8" s="10" t="n">
        <x:v>0.75</x:v>
      </x:c>
      <x:c r="S8" s="10" t="n">
        <x:v>0.5</x:v>
      </x:c>
      <x:c r="T8" s="10" t="n">
        <x:v>0.5</x:v>
      </x:c>
      <x:c r="U8" s="10" t="n">
        <x:v>0.005</x:v>
      </x:c>
      <x:c r="V8" s="10" t="n">
        <x:v>0.03</x:v>
      </x:c>
      <x:c r="W8" s="10" t="n">
        <x:v>0.65</x:v>
      </x:c>
      <x:c r="X8" s="10" t="n">
        <x:v>0.5</x:v>
      </x:c>
      <x:c r="Y8" s="10" t="n">
        <x:v>0.1</x:v>
      </x:c>
      <x:c r="Z8" s="10" t="n">
        <x:v>0.25</x:v>
      </x:c>
      <x:c r="AA8" s="10" t="n">
        <x:v>1</x:v>
      </x:c>
      <x:c r="AB8" s="10" t="n">
        <x:v>0.6</x:v>
      </x:c>
      <x:c r="AC8" s="10" t="n">
        <x:v>2</x:v>
      </x:c>
      <x:c r="AD8" s="10" t="str">
        <x:v>Common scenario elasticity + issuer SEC CapEx/CFO dependency scale</x:v>
      </x:c>
      <x:c r="AE8" s="10" t="str">
        <x:v>Modeled estimate using observed inputs + disclosed assumptions</x:v>
      </x:c>
    </x:row>
    <x:row r="9" ht="18" customHeight="1">
      <x:c r="A9" s="10" t="str">
        <x:v>XOM</x:v>
      </x:c>
      <x:c r="B9" s="10" t="str">
        <x:v>Energy</x:v>
      </x:c>
      <x:c r="C9" s="10" t="str">
        <x:v>CFP-2026-003-R17-20260804T234500Z</x:v>
      </x:c>
      <x:c r="D9" s="12" t="n">
        <x:v>24046905786.56586</x:v>
      </x:c>
      <x:c r="E9" s="13" t="n">
        <x:v>104000000</x:v>
      </x:c>
      <x:c r="F9" s="13" t="n">
        <x:v>7000000</x:v>
      </x:c>
      <x:c r="G9" s="13" t="n">
        <x:v>630000000</x:v>
      </x:c>
      <x:c r="H9" s="12" t="n">
        <x:v>299373000000</x:v>
      </x:c>
      <x:c r="I9" s="13" t="n">
        <x:v>68</x:v>
      </x:c>
      <x:c r="J9" s="13" t="n">
        <x:v>49</x:v>
      </x:c>
      <x:c r="K9" s="14" t="n">
        <x:v>72.05882352941177</x:v>
      </x:c>
      <x:c r="L9" s="10" t="str">
        <x:v>Medium</x:v>
      </x:c>
      <x:c r="M9" s="10" t="str">
        <x:v>Issuer facility-to-FEMA county match</x:v>
      </x:c>
      <x:c r="N9" s="14" t="n">
        <x:v>0.18613243120519987</x:v>
      </x:c>
      <x:c r="O9" s="14" t="n">
        <x:v>0.18613243120519987</x:v>
      </x:c>
      <x:c r="P9" s="14" t="n">
        <x:v>5.418008975739499</x:v>
      </x:c>
      <x:c r="Q9" s="14" t="n">
        <x:v>1.7999999999999998</x:v>
      </x:c>
      <x:c r="R9" s="10" t="n">
        <x:v>0.75</x:v>
      </x:c>
      <x:c r="S9" s="10" t="n">
        <x:v>0.5</x:v>
      </x:c>
      <x:c r="T9" s="10" t="n">
        <x:v>0.5</x:v>
      </x:c>
      <x:c r="U9" s="10" t="n">
        <x:v>0.003</x:v>
      </x:c>
      <x:c r="V9" s="10" t="n">
        <x:v>0.03</x:v>
      </x:c>
      <x:c r="W9" s="10" t="n">
        <x:v>0.45</x:v>
      </x:c>
      <x:c r="X9" s="10" t="n">
        <x:v>0.5</x:v>
      </x:c>
      <x:c r="Y9" s="10" t="n">
        <x:v>0.1</x:v>
      </x:c>
      <x:c r="Z9" s="10" t="n">
        <x:v>0.25</x:v>
      </x:c>
      <x:c r="AA9" s="10" t="n">
        <x:v>1</x:v>
      </x:c>
      <x:c r="AB9" s="10" t="n">
        <x:v>0.6</x:v>
      </x:c>
      <x:c r="AC9" s="10" t="n">
        <x:v>1.0456609582451413</x:v>
      </x:c>
      <x:c r="AD9" s="10" t="str">
        <x:v>Common scenario elasticity + issuer SEC CapEx/CFO dependency scale</x:v>
      </x:c>
      <x:c r="AE9" s="10" t="str">
        <x:v>Modeled estimate using observed inputs + disclosed assumptions</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0" hidden="0" customWidth="1"/>
    <x:col min="4" max="4" width="28" hidden="0" customWidth="1"/>
    <x:col min="5" max="5" width="18" hidden="0" customWidth="1"/>
    <x:col min="6" max="6" width="18" hidden="0" customWidth="1"/>
    <x:col min="7" max="7" width="18" hidden="0" customWidth="1"/>
    <x:col min="8" max="8" width="10" hidden="0" customWidth="1"/>
    <x:col min="9" max="9" width="12" hidden="0" customWidth="1"/>
    <x:col min="10" max="10" width="12" hidden="0" customWidth="1"/>
    <x:col min="11" max="11" width="28" hidden="0" customWidth="1"/>
    <x:col min="12" max="12" width="48" hidden="0" customWidth="1"/>
    <x:col min="13" max="13" width="16" hidden="0" customWidth="1"/>
    <x:col min="14" max="14" width="18" hidden="0" customWidth="1"/>
    <x:col min="15" max="15" width="18" hidden="0" customWidth="1"/>
    <x:col min="16" max="16" width="18" hidden="0" customWidth="1"/>
    <x:col min="17" max="17" width="18" hidden="0" customWidth="1"/>
  </x:cols>
  <x:sheetData>
    <x:row r="1" ht="48" customHeight="1">
      <x:c r="A1" s="7" t="str">
        <x:v>ticker</x:v>
      </x:c>
      <x:c r="B1" s="7" t="str">
        <x:v>sector</x:v>
      </x:c>
      <x:c r="C1" s="7" t="str">
        <x:v>scenario_pair_key</x:v>
      </x:c>
      <x:c r="D1" s="7" t="str">
        <x:v>scenario_pair</x:v>
      </x:c>
      <x:c r="E1" s="7" t="str">
        <x:v>scenario_pair_short</x:v>
      </x:c>
      <x:c r="F1" s="7" t="str">
        <x:v>target_scenario</x:v>
      </x:c>
      <x:c r="G1" s="7" t="str">
        <x:v>reference_scenario</x:v>
      </x:c>
      <x:c r="H1" s="7" t="str">
        <x:v>horizon</x:v>
      </x:c>
      <x:c r="I1" s="7" t="str">
        <x:v>assumption_case</x:v>
      </x:c>
      <x:c r="J1" s="7" t="str">
        <x:v>is_calculable</x:v>
      </x:c>
      <x:c r="K1" s="7" t="str">
        <x:v>release_id</x:v>
      </x:c>
      <x:c r="L1" s="7" t="str">
        <x:v>status</x:v>
      </x:c>
      <x:c r="M1" s="7" t="str">
        <x:v>value_impact_pct</x:v>
      </x:c>
      <x:c r="N1" s="7" t="str">
        <x:v>reference_enterprise_value_usd</x:v>
      </x:c>
      <x:c r="O1" s="7" t="str">
        <x:v>target_enterprise_value_usd</x:v>
      </x:c>
      <x:c r="P1" s="7" t="str">
        <x:v>reference_terminal_fcff_usd</x:v>
      </x:c>
      <x:c r="Q1" s="7" t="str">
        <x:v>target_terminal_fcff_usd</x:v>
      </x:c>
      <x:c r="R1" s="7" t="str">
        <x:v>terminal_fcff_delta_usd</x:v>
      </x:c>
      <x:c r="S1" s="7" t="str">
        <x:v>normalized_fcff_usd</x:v>
      </x:c>
      <x:c r="T1" s="7" t="str">
        <x:v>transition_fcff_pressure_pct</x:v>
      </x:c>
      <x:c r="U1" s="7" t="str">
        <x:v>physical_fcff_pressure_pct</x:v>
      </x:c>
      <x:c r="V1" s="7" t="str">
        <x:v>macro_supply_fcff_pressure_pct</x:v>
      </x:c>
      <x:c r="W1" s="7" t="str">
        <x:v>transition_terminal_cost_usd</x:v>
      </x:c>
      <x:c r="X1" s="7" t="str">
        <x:v>physical_terminal_cost_usd</x:v>
      </x:c>
      <x:c r="Y1" s="7" t="str">
        <x:v>macro_supply_terminal_cost_usd</x:v>
      </x:c>
      <x:c r="Z1" s="7" t="str">
        <x:v>transition_value_contribution_pct</x:v>
      </x:c>
      <x:c r="AA1" s="7" t="str">
        <x:v>physical_value_contribution_pct</x:v>
      </x:c>
      <x:c r="AB1" s="7" t="str">
        <x:v>macro_supply_value_contribution_pct</x:v>
      </x:c>
      <x:c r="AC1" s="7" t="str">
        <x:v>scope1_terminal_cost_usd</x:v>
      </x:c>
      <x:c r="AD1" s="7" t="str">
        <x:v>scope2_terminal_cost_usd</x:v>
      </x:c>
      <x:c r="AE1" s="7" t="str">
        <x:v>scope3_terminal_cost_usd</x:v>
      </x:c>
      <x:c r="AF1" s="7" t="str">
        <x:v>acute_terminal_cost_usd</x:v>
      </x:c>
      <x:c r="AG1" s="7" t="str">
        <x:v>chronic_terminal_cost_usd</x:v>
      </x:c>
      <x:c r="AH1" s="7" t="str">
        <x:v>scope1_tco2e</x:v>
      </x:c>
      <x:c r="AI1" s="7" t="str">
        <x:v>scope2_tco2e</x:v>
      </x:c>
      <x:c r="AJ1" s="7" t="str">
        <x:v>scope3_tco2e</x:v>
      </x:c>
      <x:c r="AK1" s="7" t="str">
        <x:v>net_ppe_usd</x:v>
      </x:c>
      <x:c r="AL1" s="7" t="str">
        <x:v>fema_building_eal_rate_pct</x:v>
      </x:c>
      <x:c r="AM1" s="7" t="str">
        <x:v>fema_eal_matches</x:v>
      </x:c>
      <x:c r="AN1" s="7" t="str">
        <x:v>facility_count</x:v>
      </x:c>
      <x:c r="AO1" s="7" t="str">
        <x:v>facility_match_coverage_pct</x:v>
      </x:c>
      <x:c r="AP1" s="7" t="str">
        <x:v>physical_data_confidence</x:v>
      </x:c>
      <x:c r="AQ1" s="7" t="str">
        <x:v>physical_evidence_type</x:v>
      </x:c>
      <x:c r="AR1" s="7" t="str">
        <x:v>issuer_specific_fema_rate_pct</x:v>
      </x:c>
      <x:c r="AS1" s="7" t="str">
        <x:v>cie_target_labour_loss_pct</x:v>
      </x:c>
      <x:c r="AT1" s="7" t="str">
        <x:v>cie_reference_labour_loss_pct</x:v>
      </x:c>
      <x:c r="AU1" s="7" t="str">
        <x:v>wacc_pct</x:v>
      </x:c>
      <x:c r="AV1" s="7" t="str">
        <x:v>terminal_growth_pct</x:v>
      </x:c>
      <x:c r="AW1" s="7" t="str">
        <x:v>policy_coverage</x:v>
      </x:c>
      <x:c r="AX1" s="7" t="str">
        <x:v>pass_through</x:v>
      </x:c>
      <x:c r="AY1" s="7" t="str">
        <x:v>scope2_cost_incidence</x:v>
      </x:c>
      <x:c r="AZ1" s="7" t="str">
        <x:v>scope3_value_chain_incidence</x:v>
      </x:c>
      <x:c r="BA1" s="7" t="str">
        <x:v>annual_emissions_decline</x:v>
      </x:c>
      <x:c r="BB1" s="7" t="str">
        <x:v>covered_ppe_share</x:v>
      </x:c>
      <x:c r="BC1" s="7" t="str">
        <x:v>insurance_adaptation_recovery</x:v>
      </x:c>
      <x:c r="BD1" s="7" t="str">
        <x:v>labour_cost_share</x:v>
      </x:c>
      <x:c r="BE1" s="7" t="str">
        <x:v>labour_productivity_to_fcff</x:v>
      </x:c>
      <x:c r="BF1" s="7" t="str">
        <x:v>acute_scenario_factor</x:v>
      </x:c>
      <x:c r="BG1" s="7" t="str">
        <x:v>macro_cashflow_elasticity</x:v>
      </x:c>
      <x:c r="BH1" s="7" t="str">
        <x:v>macro_dependency_scale</x:v>
      </x:c>
      <x:c r="BI1" s="7" t="str">
        <x:v>macro_specificity</x:v>
      </x:c>
      <x:c r="BJ1" s="7" t="str">
        <x:v>classification</x:v>
      </x:c>
      <x:c r="BK1" s="7" t="str">
        <x:v>target_ev_floor_flag</x:v>
      </x:c>
      <x:c r="BL1" s="7" t="str">
        <x:v>reference_ev_floor_flag</x:v>
      </x:c>
      <x:c r="BM1" s="7" t="str">
        <x:v>extreme_relative_value_flag</x:v>
      </x:c>
      <x:c r="BN1" s="7" t="str">
        <x:v>result_interpretation</x:v>
      </x:c>
      <x:c r="BO1" s="7" t="str">
        <x:v>reference_ev_share_of_target_pct</x:v>
      </x:c>
    </x:row>
    <x:row r="2" ht="18" customHeight="1">
      <x:c r="A2" s="10" t="str">
        <x:v>AAPL</x:v>
      </x:c>
      <x:c r="B2" s="10" t="str">
        <x:v>Technology</x:v>
      </x:c>
      <x:c r="C2" s="10" t="str">
        <x:v>cp_vs_baseline</x:v>
      </x:c>
      <x:c r="D2" s="10" t="str">
        <x:v>Current Policies vs baseline</x:v>
      </x:c>
      <x:c r="E2" s="10" t="str">
        <x:v>CP vs baseline</x:v>
      </x:c>
      <x:c r="F2" s="10" t="str">
        <x:v>current_policies</x:v>
      </x:c>
      <x:c r="G2" s="10" t="str">
        <x:v>baseline</x:v>
      </x:c>
      <x:c r="H2" s="10" t="n">
        <x:v>2050</x:v>
      </x:c>
      <x:c r="I2" s="10" t="str">
        <x:v>low</x:v>
      </x:c>
      <x:c r="J2" s="11" t="b">
        <x:v>1</x:v>
      </x:c>
      <x:c r="K2" s="10" t="str">
        <x:v>CFP-2026-003-R17-20260804T234500Z</x:v>
      </x:c>
      <x:c r="L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 s="14" t="n">
        <x:v>-0.27211407681032584</x:v>
      </x:c>
      <x:c r="N2" s="12" t="n">
        <x:v>1511832209193.6655</x:v>
      </x:c>
      <x:c r="O2" s="12" t="n">
        <x:v>1507718300934.697</x:v>
      </x:c>
      <x:c r="P2" s="12" t="n">
        <x:v>190556654157.15817</x:v>
      </x:c>
      <x:c r="Q2" s="12" t="n">
        <x:v>189627574241.53833</x:v>
      </x:c>
      <x:c r="R2" s="12" t="n">
        <x:v>-929079915.6198425</x:v>
      </x:c>
      <x:c r="S2" s="12" t="n">
        <x:v>102784466009.31221</x:v>
      </x:c>
      <x:c r="T2" s="14" t="n">
        <x:v>0.000016878913163932233</x:v>
      </x:c>
      <x:c r="U2" s="14" t="n">
        <x:v>0.05770611353466921</x:v>
      </x:c>
      <x:c r="V2" s="14" t="n">
        <x:v>0.4298380007534849</x:v>
      </x:c>
      <x:c r="W2" s="12" t="n">
        <x:v>32163.892183281387</x:v>
      </x:c>
      <x:c r="X2" s="12" t="n">
        <x:v>109962839.19579665</x:v>
      </x:c>
      <x:c r="Y2" s="12" t="n">
        <x:v>819084912.5318611</x:v>
      </x:c>
      <x:c r="Z2" s="14" t="n">
        <x:v>-0.000010631669222089529</x:v>
      </x:c>
      <x:c r="AA2" s="14" t="n">
        <x:v>-0.054177320508263516</x:v>
      </x:c>
      <x:c r="AB2" s="14" t="n">
        <x:v>-0.21792612463284078</x:v>
      </x:c>
      <x:c r="AC2" s="12" t="n">
        <x:v>4956.233787471931</x:v>
      </x:c>
      <x:c r="AD2" s="12" t="n">
        <x:v>74.07414628015114</x:v>
      </x:c>
      <x:c r="AE2" s="12" t="n">
        <x:v>27133.584249529304</x:v>
      </x:c>
      <x:c r="AF2" s="12" t="n">
        <x:v>1633242.989454944</x:v>
      </x:c>
      <x:c r="AG2" s="12" t="n">
        <x:v>108329596.20634171</x:v>
      </x:c>
      <x:c r="AH2" s="13" t="n">
        <x:v>55200</x:v>
      </x:c>
      <x:c r="AI2" s="13" t="n">
        <x:v>3300</x:v>
      </x:c>
      <x:c r="AJ2" s="13" t="n">
        <x:v>15110000</x:v>
      </x:c>
      <x:c r="AK2" s="12" t="n">
        <x:v>50159000000</x:v>
      </x:c>
      <x:c r="AL2" s="14" t="n">
        <x:v>0.18089619337783003</x:v>
      </x:c>
      <x:c r="AM2" s="13" t="n">
        <x:v>0</x:v>
      </x:c>
      <x:c r="AN2" s="13" t="n">
        <x:v>0</x:v>
      </x:c>
      <x:c r="AO2" s="14"/>
      <x:c r="AP2" s="10" t="str">
        <x:v>Unverified</x:v>
      </x:c>
      <x:c r="AQ2" s="10" t="str">
        <x:v>Proxy fallback; no issuer facilities in governed match file</x:v>
      </x:c>
      <x:c r="AR2" s="14"/>
      <x:c r="AS2" s="14" t="n">
        <x:v>7.579869737287252</x:v>
      </x:c>
      <x:c r="AT2" s="14" t="n">
        <x:v>0</x:v>
      </x:c>
      <x:c r="AU2" s="14" t="n">
        <x:v>9.468635607765986</x:v>
      </x:c>
      <x:c r="AV2" s="14" t="n">
        <x:v>2.5</x:v>
      </x:c>
      <x:c r="AW2" s="10" t="n">
        <x:v>0.5</x:v>
      </x:c>
      <x:c r="AX2" s="10" t="n">
        <x:v>0.7</x:v>
      </x:c>
      <x:c r="AY2" s="10" t="n">
        <x:v>0.25</x:v>
      </x:c>
      <x:c r="AZ2" s="10" t="n">
        <x:v>0.01</x:v>
      </x:c>
      <x:c r="BA2" s="10" t="n">
        <x:v>0.05</x:v>
      </x:c>
      <x:c r="BB2" s="10" t="n">
        <x:v>0.06</x:v>
      </x:c>
      <x:c r="BC2" s="10" t="n">
        <x:v>0.7</x:v>
      </x:c>
      <x:c r="BD2" s="10" t="n">
        <x:v>0.05</x:v>
      </x:c>
      <x:c r="BE2" s="10" t="n">
        <x:v>0.15</x:v>
      </x:c>
      <x:c r="BF2" s="10" t="n">
        <x:v>1</x:v>
      </x:c>
      <x:c r="BG2" s="10" t="n">
        <x:v>0.35</x:v>
      </x:c>
      <x:c r="BH2" s="10" t="n">
        <x:v>0.6140542867906926</x:v>
      </x:c>
      <x:c r="BI2" s="10" t="str">
        <x:v>Common scenario elasticity + issuer SEC CapEx/CFO dependency scale</x:v>
      </x:c>
      <x:c r="BJ2" s="10" t="str">
        <x:v>Modeled estimate using observed inputs + disclosed assumptions</x:v>
      </x:c>
      <x:c r="BK2" s="11" t="b">
        <x:v>0</x:v>
      </x:c>
      <x:c r="BL2" s="11" t="b">
        <x:v>0</x:v>
      </x:c>
      <x:c r="BM2" s="11" t="b">
        <x:v>0</x:v>
      </x:c>
      <x:c r="BN2" s="10" t="str">
        <x:v>Conditional scenario sensitivity; not a forecast or probability</x:v>
      </x:c>
      <x:c r="BO2" s="14" t="n">
        <x:v>100.27285655791391</x:v>
      </x:c>
    </x:row>
    <x:row r="3" ht="18" customHeight="1">
      <x:c r="A3" s="10" t="str">
        <x:v>AAPL</x:v>
      </x:c>
      <x:c r="B3" s="10" t="str">
        <x:v>Technology</x:v>
      </x:c>
      <x:c r="C3" s="10" t="str">
        <x:v>cp_vs_baseline</x:v>
      </x:c>
      <x:c r="D3" s="10" t="str">
        <x:v>Current Policies vs baseline</x:v>
      </x:c>
      <x:c r="E3" s="10" t="str">
        <x:v>CP vs baseline</x:v>
      </x:c>
      <x:c r="F3" s="10" t="str">
        <x:v>current_policies</x:v>
      </x:c>
      <x:c r="G3" s="10" t="str">
        <x:v>baseline</x:v>
      </x:c>
      <x:c r="H3" s="10" t="n">
        <x:v>2050</x:v>
      </x:c>
      <x:c r="I3" s="10" t="str">
        <x:v>base</x:v>
      </x:c>
      <x:c r="J3" s="11" t="b">
        <x:v>1</x:v>
      </x:c>
      <x:c r="K3" s="10" t="str">
        <x:v>CFP-2026-003-R17-20260804T234500Z</x:v>
      </x:c>
      <x:c r="L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 s="14" t="n">
        <x:v>-0.5539403113981378</x:v>
      </x:c>
      <x:c r="N3" s="12" t="n">
        <x:v>1511832209193.6655</x:v>
      </x:c>
      <x:c r="O3" s="12" t="n">
        <x:v>1503457561146.2407</x:v>
      </x:c>
      <x:c r="P3" s="12" t="n">
        <x:v>190556654157.15817</x:v>
      </x:c>
      <x:c r="Q3" s="12" t="n">
        <x:v>188786699408.97568</x:v>
      </x:c>
      <x:c r="R3" s="12" t="n">
        <x:v>-1769954748.182495</x:v>
      </x:c>
      <x:c r="S3" s="12" t="n">
        <x:v>102784466009.31221</x:v>
      </x:c>
      <x:c r="T3" s="14" t="n">
        <x:v>0.00009117694681199401</x:v>
      </x:c>
      <x:c r="U3" s="14" t="n">
        <x:v>0.19187755039055582</x:v>
      </x:c>
      <x:c r="V3" s="14" t="n">
        <x:v>0.7368651441488312</x:v>
      </x:c>
      <x:c r="W3" s="12" t="n">
        <x:v>173743.73920758747</x:v>
      </x:c>
      <x:c r="X3" s="12" t="n">
        <x:v>365635440.1029584</x:v>
      </x:c>
      <x:c r="Y3" s="12" t="n">
        <x:v>1404145564.3403332</x:v>
      </x:c>
      <x:c r="Z3" s="14" t="n">
        <x:v>-0.00005011940900586668</x:v>
      </x:c>
      <x:c r="AA3" s="14" t="n">
        <x:v>-0.18030254976141624</x:v>
      </x:c>
      <x:c r="AB3" s="14" t="n">
        <x:v>-0.3735876422277202</x:v>
      </x:c>
      <x:c r="AC3" s="12" t="n">
        <x:v>20859.073630896062</x:v>
      </x:c>
      <x:c r="AD3" s="12" t="n">
        <x:v>623.5049183148279</x:v>
      </x:c>
      <x:c r="AE3" s="12" t="n">
        <x:v>152261.16065837658</x:v>
      </x:c>
      <x:c r="AF3" s="12" t="n">
        <x:v>4536786.081819288</x:v>
      </x:c>
      <x:c r="AG3" s="12" t="n">
        <x:v>361098654.0211391</x:v>
      </x:c>
      <x:c r="AH3" s="13" t="n">
        <x:v>55200</x:v>
      </x:c>
      <x:c r="AI3" s="13" t="n">
        <x:v>3300</x:v>
      </x:c>
      <x:c r="AJ3" s="13" t="n">
        <x:v>15110000</x:v>
      </x:c>
      <x:c r="AK3" s="12" t="n">
        <x:v>50159000000</x:v>
      </x:c>
      <x:c r="AL3" s="14" t="n">
        <x:v>0.18089619337783003</x:v>
      </x:c>
      <x:c r="AM3" s="13" t="n">
        <x:v>0</x:v>
      </x:c>
      <x:c r="AN3" s="13" t="n">
        <x:v>0</x:v>
      </x:c>
      <x:c r="AO3" s="14"/>
      <x:c r="AP3" s="10" t="str">
        <x:v>Unverified</x:v>
      </x:c>
      <x:c r="AQ3" s="10" t="str">
        <x:v>Proxy fallback; no issuer facilities in governed match file</x:v>
      </x:c>
      <x:c r="AR3" s="14"/>
      <x:c r="AS3" s="14" t="n">
        <x:v>7.579869737287252</x:v>
      </x:c>
      <x:c r="AT3" s="14" t="n">
        <x:v>0</x:v>
      </x:c>
      <x:c r="AU3" s="14" t="n">
        <x:v>9.468635607765986</x:v>
      </x:c>
      <x:c r="AV3" s="14" t="n">
        <x:v>2.5</x:v>
      </x:c>
      <x:c r="AW3" s="10" t="n">
        <x:v>0.75</x:v>
      </x:c>
      <x:c r="AX3" s="10" t="n">
        <x:v>0.5</x:v>
      </x:c>
      <x:c r="AY3" s="10" t="n">
        <x:v>0.5</x:v>
      </x:c>
      <x:c r="AZ3" s="10" t="n">
        <x:v>0.02</x:v>
      </x:c>
      <x:c r="BA3" s="10" t="n">
        <x:v>0.03</x:v>
      </x:c>
      <x:c r="BB3" s="10" t="n">
        <x:v>0.1</x:v>
      </x:c>
      <x:c r="BC3" s="10" t="n">
        <x:v>0.5</x:v>
      </x:c>
      <x:c r="BD3" s="10" t="n">
        <x:v>0.1</x:v>
      </x:c>
      <x:c r="BE3" s="10" t="n">
        <x:v>0.25</x:v>
      </x:c>
      <x:c r="BF3" s="10" t="n">
        <x:v>1</x:v>
      </x:c>
      <x:c r="BG3" s="10" t="n">
        <x:v>0.6</x:v>
      </x:c>
      <x:c r="BH3" s="10" t="n">
        <x:v>0.6140542867906926</x:v>
      </x:c>
      <x:c r="BI3" s="10" t="str">
        <x:v>Common scenario elasticity + issuer SEC CapEx/CFO dependency scale</x:v>
      </x:c>
      <x:c r="BJ3" s="10" t="str">
        <x:v>Modeled estimate using observed inputs + disclosed assumptions</x:v>
      </x:c>
      <x:c r="BK3" s="11" t="b">
        <x:v>0</x:v>
      </x:c>
      <x:c r="BL3" s="11" t="b">
        <x:v>0</x:v>
      </x:c>
      <x:c r="BM3" s="11" t="b">
        <x:v>0</x:v>
      </x:c>
      <x:c r="BN3" s="10" t="str">
        <x:v>Conditional scenario sensitivity; not a forecast or probability</x:v>
      </x:c>
      <x:c r="BO3" s="14" t="n">
        <x:v>100.55702590241656</x:v>
      </x:c>
    </x:row>
    <x:row r="4" ht="18" customHeight="1">
      <x:c r="A4" s="10" t="str">
        <x:v>AAPL</x:v>
      </x:c>
      <x:c r="B4" s="10" t="str">
        <x:v>Technology</x:v>
      </x:c>
      <x:c r="C4" s="10" t="str">
        <x:v>cp_vs_baseline</x:v>
      </x:c>
      <x:c r="D4" s="10" t="str">
        <x:v>Current Policies vs baseline</x:v>
      </x:c>
      <x:c r="E4" s="10" t="str">
        <x:v>CP vs baseline</x:v>
      </x:c>
      <x:c r="F4" s="10" t="str">
        <x:v>current_policies</x:v>
      </x:c>
      <x:c r="G4" s="10" t="str">
        <x:v>baseline</x:v>
      </x:c>
      <x:c r="H4" s="10" t="n">
        <x:v>2050</x:v>
      </x:c>
      <x:c r="I4" s="10" t="str">
        <x:v>high</x:v>
      </x:c>
      <x:c r="J4" s="11" t="b">
        <x:v>1</x:v>
      </x:c>
      <x:c r="K4" s="10" t="str">
        <x:v>CFP-2026-003-R17-20260804T234500Z</x:v>
      </x:c>
      <x:c r="L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 s="14" t="n">
        <x:v>-1.1979239537032282</x:v>
      </x:c>
      <x:c r="N4" s="12" t="n">
        <x:v>1511832209193.6655</x:v>
      </x:c>
      <x:c r="O4" s="12" t="n">
        <x:v>1493721609019.9338</x:v>
      </x:c>
      <x:c r="P4" s="12" t="n">
        <x:v>190556654157.15817</x:v>
      </x:c>
      <x:c r="Q4" s="12" t="n">
        <x:v>187051543444.54913</x:v>
      </x:c>
      <x:c r="R4" s="12" t="n">
        <x:v>-3505110712.6090393</x:v>
      </x:c>
      <x:c r="S4" s="12" t="n">
        <x:v>102784466009.31221</x:v>
      </x:c>
      <x:c r="T4" s="14" t="n">
        <x:v>0.00040821813140701804</x:v>
      </x:c>
      <x:c r="U4" s="14" t="n">
        <x:v>0.6108893041343081</x:v>
      </x:c>
      <x:c r="V4" s="14" t="n">
        <x:v>1.2281085735813853</x:v>
      </x:c>
      <x:c r="W4" s="12" t="n">
        <x:v>777886.8128720848</x:v>
      </x:c>
      <x:c r="X4" s="12" t="n">
        <x:v>1164090218.5622835</x:v>
      </x:c>
      <x:c r="Y4" s="12" t="n">
        <x:v>2340242607.2338886</x:v>
      </x:c>
      <x:c r="Z4" s="14" t="n">
        <x:v>-0.00019952091348361518</x:v>
      </x:c>
      <x:c r="AA4" s="14" t="n">
        <x:v>-0.5750783624102103</x:v>
      </x:c>
      <x:c r="AB4" s="14" t="n">
        <x:v>-0.622646070379539</x:v>
      </x:c>
      <x:c r="AC4" s="12" t="n">
        <x:v>64855.72189032825</x:v>
      </x:c>
      <x:c r="AD4" s="12" t="n">
        <x:v>2907.9331825826525</x:v>
      </x:c>
      <x:c r="AE4" s="12" t="n">
        <x:v>710123.1577991738</x:v>
      </x:c>
      <x:c r="AF4" s="12" t="n">
        <x:v>8574525.694638453</x:v>
      </x:c>
      <x:c r="AG4" s="12" t="n">
        <x:v>1155515692.867645</x:v>
      </x:c>
      <x:c r="AH4" s="13" t="n">
        <x:v>55200</x:v>
      </x:c>
      <x:c r="AI4" s="13" t="n">
        <x:v>3300</x:v>
      </x:c>
      <x:c r="AJ4" s="13" t="n">
        <x:v>15110000</x:v>
      </x:c>
      <x:c r="AK4" s="12" t="n">
        <x:v>50159000000</x:v>
      </x:c>
      <x:c r="AL4" s="14" t="n">
        <x:v>0.18089619337783003</x:v>
      </x:c>
      <x:c r="AM4" s="13" t="n">
        <x:v>0</x:v>
      </x:c>
      <x:c r="AN4" s="13" t="n">
        <x:v>0</x:v>
      </x:c>
      <x:c r="AO4" s="14"/>
      <x:c r="AP4" s="10" t="str">
        <x:v>Unverified</x:v>
      </x:c>
      <x:c r="AQ4" s="10" t="str">
        <x:v>Proxy fallback; no issuer facilities in governed match file</x:v>
      </x:c>
      <x:c r="AR4" s="14"/>
      <x:c r="AS4" s="14" t="n">
        <x:v>7.579869737287252</x:v>
      </x:c>
      <x:c r="AT4" s="14" t="n">
        <x:v>0</x:v>
      </x:c>
      <x:c r="AU4" s="14" t="n">
        <x:v>9.468635607765986</x:v>
      </x:c>
      <x:c r="AV4" s="14" t="n">
        <x:v>2.5</x:v>
      </x:c>
      <x:c r="AW4" s="10" t="n">
        <x:v>1</x:v>
      </x:c>
      <x:c r="AX4" s="10" t="n">
        <x:v>0.3</x:v>
      </x:c>
      <x:c r="AY4" s="10" t="n">
        <x:v>0.75</x:v>
      </x:c>
      <x:c r="AZ4" s="10" t="n">
        <x:v>0.04</x:v>
      </x:c>
      <x:c r="BA4" s="10" t="n">
        <x:v>0.01</x:v>
      </x:c>
      <x:c r="BB4" s="10" t="n">
        <x:v>0.135</x:v>
      </x:c>
      <x:c r="BC4" s="10" t="n">
        <x:v>0.3</x:v>
      </x:c>
      <x:c r="BD4" s="10" t="n">
        <x:v>0.2</x:v>
      </x:c>
      <x:c r="BE4" s="10" t="n">
        <x:v>0.4</x:v>
      </x:c>
      <x:c r="BF4" s="10" t="n">
        <x:v>1</x:v>
      </x:c>
      <x:c r="BG4" s="10" t="n">
        <x:v>1</x:v>
      </x:c>
      <x:c r="BH4" s="10" t="n">
        <x:v>0.6140542867906926</x:v>
      </x:c>
      <x:c r="BI4" s="10" t="str">
        <x:v>Common scenario elasticity + issuer SEC CapEx/CFO dependency scale</x:v>
      </x:c>
      <x:c r="BJ4" s="10" t="str">
        <x:v>Modeled estimate using observed inputs + disclosed assumptions</x:v>
      </x:c>
      <x:c r="BK4" s="11" t="b">
        <x:v>0</x:v>
      </x:c>
      <x:c r="BL4" s="11" t="b">
        <x:v>0</x:v>
      </x:c>
      <x:c r="BM4" s="11" t="b">
        <x:v>0</x:v>
      </x:c>
      <x:c r="BN4" s="10" t="str">
        <x:v>Conditional scenario sensitivity; not a forecast or probability</x:v>
      </x:c>
      <x:c r="BO4" s="14" t="n">
        <x:v>101.21244816064585</x:v>
      </x:c>
    </x:row>
    <x:row r="5" ht="18" customHeight="1">
      <x:c r="A5" s="10" t="str">
        <x:v>CAT</x:v>
      </x:c>
      <x:c r="B5" s="10" t="str">
        <x:v>Industrials</x:v>
      </x:c>
      <x:c r="C5" s="10" t="str">
        <x:v>cp_vs_baseline</x:v>
      </x:c>
      <x:c r="D5" s="10" t="str">
        <x:v>Current Policies vs baseline</x:v>
      </x:c>
      <x:c r="E5" s="10" t="str">
        <x:v>CP vs baseline</x:v>
      </x:c>
      <x:c r="F5" s="10" t="str">
        <x:v>current_policies</x:v>
      </x:c>
      <x:c r="G5" s="10" t="str">
        <x:v>baseline</x:v>
      </x:c>
      <x:c r="H5" s="10" t="n">
        <x:v>2050</x:v>
      </x:c>
      <x:c r="I5" s="10" t="str">
        <x:v>low</x:v>
      </x:c>
      <x:c r="J5" s="11" t="b">
        <x:v>1</x:v>
      </x:c>
      <x:c r="K5" s="10" t="str">
        <x:v>CFP-2026-003-R17-20260804T234500Z</x:v>
      </x:c>
      <x:c r="L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 s="14" t="n">
        <x:v>-0.28339943304145354</x:v>
      </x:c>
      <x:c r="N5" s="12" t="n">
        <x:v>121641418108.2752</x:v>
      </x:c>
      <x:c r="O5" s="12" t="n">
        <x:v>121296687019.01277</x:v>
      </x:c>
      <x:c r="P5" s="12" t="n">
        <x:v>18326479866.126686</x:v>
      </x:c>
      <x:c r="Q5" s="12" t="n">
        <x:v>18219673443.99643</x:v>
      </x:c>
      <x:c r="R5" s="12" t="n">
        <x:v>-106806422.13025665</x:v>
      </x:c>
      <x:c r="S5" s="12" t="n">
        <x:v>10636693843.707409</x:v>
      </x:c>
      <x:c r="T5" s="14" t="n">
        <x:v>0.0030828818182529515</x:v>
      </x:c>
      <x:c r="U5" s="14" t="n">
        <x:v>0.06149841314000866</x:v>
      </x:c>
      <x:c r="V5" s="14" t="n">
        <x:v>0.5182170542635658</x:v>
      </x:c>
      <x:c r="W5" s="12" t="n">
        <x:v>564983.7157186074</x:v>
      </x:c>
      <x:c r="X5" s="12" t="n">
        <x:v>11270494.302091096</x:v>
      </x:c>
      <x:c r="Y5" s="12" t="n">
        <x:v>94970944.11244719</x:v>
      </x:c>
      <x:c r="Z5" s="14" t="n">
        <x:v>-0.001666038519903736</x:v>
      </x:c>
      <x:c r="AA5" s="14" t="n">
        <x:v>-0.05565339617883704</x:v>
      </x:c>
      <x:c r="AB5" s="14" t="n">
        <x:v>-0.22607999834271275</x:v>
      </x:c>
      <x:c r="AC5" s="12" t="n">
        <x:v>61055.05390363973</x:v>
      </x:c>
      <x:c r="AD5" s="12" t="n">
        <x:v>15488.230585849786</x:v>
      </x:c>
      <x:c r="AE5" s="12" t="n">
        <x:v>488440.43122911785</x:v>
      </x:c>
      <x:c r="AF5" s="12" t="n">
        <x:v>852069.5424717591</x:v>
      </x:c>
      <x:c r="AG5" s="12" t="n">
        <x:v>10418424.759619337</x:v>
      </x:c>
      <x:c r="AH5" s="13" t="n">
        <x:v>680000</x:v>
      </x:c>
      <x:c r="AI5" s="13" t="n">
        <x:v>690000</x:v>
      </x:c>
      <x:c r="AJ5" s="13" t="n">
        <x:v>680000000</x:v>
      </x:c>
      <x:c r="AK5" s="12" t="n">
        <x:v>15140000000</x:v>
      </x:c>
      <x:c r="AL5" s="14" t="n">
        <x:v>0.1250652491518801</x:v>
      </x:c>
      <x:c r="AM5" s="13" t="n">
        <x:v>7</x:v>
      </x:c>
      <x:c r="AN5" s="13" t="n">
        <x:v>7</x:v>
      </x:c>
      <x:c r="AO5" s="14" t="n">
        <x:v>100</x:v>
      </x:c>
      <x:c r="AP5" s="10" t="str">
        <x:v>High</x:v>
      </x:c>
      <x:c r="AQ5" s="10" t="str">
        <x:v>Issuer facility-to-FEMA county match</x:v>
      </x:c>
      <x:c r="AR5" s="14" t="n">
        <x:v>0.1250652491518801</x:v>
      </x:c>
      <x:c r="AS5" s="14" t="n">
        <x:v>7.579869737287252</x:v>
      </x:c>
      <x:c r="AT5" s="14" t="n">
        <x:v>0</x:v>
      </x:c>
      <x:c r="AU5" s="14" t="n">
        <x:v>11.136677389433892</x:v>
      </x:c>
      <x:c r="AV5" s="14" t="n">
        <x:v>2.1999999999999997</x:v>
      </x:c>
      <x:c r="AW5" s="10" t="n">
        <x:v>0.5</x:v>
      </x:c>
      <x:c r="AX5" s="10" t="n">
        <x:v>0.7</x:v>
      </x:c>
      <x:c r="AY5" s="10" t="n">
        <x:v>0.25</x:v>
      </x:c>
      <x:c r="AZ5" s="10" t="n">
        <x:v>0.004</x:v>
      </x:c>
      <x:c r="BA5" s="10" t="n">
        <x:v>0.05</x:v>
      </x:c>
      <x:c r="BB5" s="10" t="n">
        <x:v>0.15</x:v>
      </x:c>
      <x:c r="BC5" s="10" t="n">
        <x:v>0.7</x:v>
      </x:c>
      <x:c r="BD5" s="10" t="n">
        <x:v>0.05</x:v>
      </x:c>
      <x:c r="BE5" s="10" t="n">
        <x:v>0.15</x:v>
      </x:c>
      <x:c r="BF5" s="10" t="n">
        <x:v>1</x:v>
      </x:c>
      <x:c r="BG5" s="10" t="n">
        <x:v>0.35</x:v>
      </x:c>
      <x:c r="BH5" s="10" t="n">
        <x:v>0.7403100775193798</x:v>
      </x:c>
      <x:c r="BI5" s="10" t="str">
        <x:v>Common scenario elasticity + issuer SEC CapEx/CFO dependency scale</x:v>
      </x:c>
      <x:c r="BJ5" s="10" t="str">
        <x:v>Modeled estimate using observed inputs + disclosed assumptions</x:v>
      </x:c>
      <x:c r="BK5" s="11" t="b">
        <x:v>0</x:v>
      </x:c>
      <x:c r="BL5" s="11" t="b">
        <x:v>0</x:v>
      </x:c>
      <x:c r="BM5" s="11" t="b">
        <x:v>0</x:v>
      </x:c>
      <x:c r="BN5" s="10" t="str">
        <x:v>Conditional scenario sensitivity; not a forecast or probability</x:v>
      </x:c>
      <x:c r="BO5" s="14" t="n">
        <x:v>100.28420486802612</x:v>
      </x:c>
    </x:row>
    <x:row r="6" ht="18" customHeight="1">
      <x:c r="A6" s="10" t="str">
        <x:v>CAT</x:v>
      </x:c>
      <x:c r="B6" s="10" t="str">
        <x:v>Industrials</x:v>
      </x:c>
      <x:c r="C6" s="10" t="str">
        <x:v>cp_vs_baseline</x:v>
      </x:c>
      <x:c r="D6" s="10" t="str">
        <x:v>Current Policies vs baseline</x:v>
      </x:c>
      <x:c r="E6" s="10" t="str">
        <x:v>CP vs baseline</x:v>
      </x:c>
      <x:c r="F6" s="10" t="str">
        <x:v>current_policies</x:v>
      </x:c>
      <x:c r="G6" s="10" t="str">
        <x:v>baseline</x:v>
      </x:c>
      <x:c r="H6" s="10" t="n">
        <x:v>2050</x:v>
      </x:c>
      <x:c r="I6" s="10" t="str">
        <x:v>base</x:v>
      </x:c>
      <x:c r="J6" s="11" t="b">
        <x:v>1</x:v>
      </x:c>
      <x:c r="K6" s="10" t="str">
        <x:v>CFP-2026-003-R17-20260804T234500Z</x:v>
      </x:c>
      <x:c r="L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 s="14" t="n">
        <x:v>-0.5795814964330126</x:v>
      </x:c>
      <x:c r="N6" s="12" t="n">
        <x:v>121641418108.2752</x:v>
      </x:c>
      <x:c r="O6" s="12" t="n">
        <x:v>120936406956.92093</x:v>
      </x:c>
      <x:c r="P6" s="12" t="n">
        <x:v>18326479866.126686</x:v>
      </x:c>
      <x:c r="Q6" s="12" t="n">
        <x:v>18123449359.74854</x:v>
      </x:c>
      <x:c r="R6" s="12" t="n">
        <x:v>-203030506.37814713</x:v>
      </x:c>
      <x:c r="S6" s="12" t="n">
        <x:v>10636693843.707409</x:v>
      </x:c>
      <x:c r="T6" s="14" t="n">
        <x:v>0.01706946049944162</x:v>
      </x:c>
      <x:c r="U6" s="14" t="n">
        <x:v>0.20241171596094312</x:v>
      </x:c>
      <x:c r="V6" s="14" t="n">
        <x:v>0.8883720930232557</x:v>
      </x:c>
      <x:c r="W6" s="12" t="n">
        <x:v>3128231.241686616</x:v>
      </x:c>
      <x:c r="X6" s="12" t="n">
        <x:v>37094942.37226378</x:v>
      </x:c>
      <x:c r="Y6" s="12" t="n">
        <x:v>162807332.7641952</x:v>
      </x:c>
      <x:c r="Z6" s="14" t="n">
        <x:v>-0.007867990977488748</x:v>
      </x:c>
      <x:c r="AA6" s="14" t="n">
        <x:v>-0.18414779401087336</x:v>
      </x:c>
      <x:c r="AB6" s="14" t="n">
        <x:v>-0.38756571144465013</x:v>
      </x:c>
      <x:c r="AC6" s="12" t="n">
        <x:v>256959.60269944425</x:v>
      </x:c>
      <x:c r="AD6" s="12" t="n">
        <x:v>130369.21019310037</x:v>
      </x:c>
      <x:c r="AE6" s="12" t="n">
        <x:v>2740902.4287940715</x:v>
      </x:c>
      <x:c r="AF6" s="12" t="n">
        <x:v>2366859.840199331</x:v>
      </x:c>
      <x:c r="AG6" s="12" t="n">
        <x:v>34728082.53206445</x:v>
      </x:c>
      <x:c r="AH6" s="13" t="n">
        <x:v>680000</x:v>
      </x:c>
      <x:c r="AI6" s="13" t="n">
        <x:v>690000</x:v>
      </x:c>
      <x:c r="AJ6" s="13" t="n">
        <x:v>680000000</x:v>
      </x:c>
      <x:c r="AK6" s="12" t="n">
        <x:v>15140000000</x:v>
      </x:c>
      <x:c r="AL6" s="14" t="n">
        <x:v>0.1250652491518801</x:v>
      </x:c>
      <x:c r="AM6" s="13" t="n">
        <x:v>7</x:v>
      </x:c>
      <x:c r="AN6" s="13" t="n">
        <x:v>7</x:v>
      </x:c>
      <x:c r="AO6" s="14" t="n">
        <x:v>100</x:v>
      </x:c>
      <x:c r="AP6" s="10" t="str">
        <x:v>High</x:v>
      </x:c>
      <x:c r="AQ6" s="10" t="str">
        <x:v>Issuer facility-to-FEMA county match</x:v>
      </x:c>
      <x:c r="AR6" s="14" t="n">
        <x:v>0.1250652491518801</x:v>
      </x:c>
      <x:c r="AS6" s="14" t="n">
        <x:v>7.579869737287252</x:v>
      </x:c>
      <x:c r="AT6" s="14" t="n">
        <x:v>0</x:v>
      </x:c>
      <x:c r="AU6" s="14" t="n">
        <x:v>11.136677389433892</x:v>
      </x:c>
      <x:c r="AV6" s="14" t="n">
        <x:v>2.1999999999999997</x:v>
      </x:c>
      <x:c r="AW6" s="10" t="n">
        <x:v>0.75</x:v>
      </x:c>
      <x:c r="AX6" s="10" t="n">
        <x:v>0.5</x:v>
      </x:c>
      <x:c r="AY6" s="10" t="n">
        <x:v>0.5</x:v>
      </x:c>
      <x:c r="AZ6" s="10" t="n">
        <x:v>0.008</x:v>
      </x:c>
      <x:c r="BA6" s="10" t="n">
        <x:v>0.03</x:v>
      </x:c>
      <x:c r="BB6" s="10" t="n">
        <x:v>0.25</x:v>
      </x:c>
      <x:c r="BC6" s="10" t="n">
        <x:v>0.5</x:v>
      </x:c>
      <x:c r="BD6" s="10" t="n">
        <x:v>0.1</x:v>
      </x:c>
      <x:c r="BE6" s="10" t="n">
        <x:v>0.25</x:v>
      </x:c>
      <x:c r="BF6" s="10" t="n">
        <x:v>1</x:v>
      </x:c>
      <x:c r="BG6" s="10" t="n">
        <x:v>0.6</x:v>
      </x:c>
      <x:c r="BH6" s="10" t="n">
        <x:v>0.7403100775193798</x:v>
      </x:c>
      <x:c r="BI6" s="10" t="str">
        <x:v>Common scenario elasticity + issuer SEC CapEx/CFO dependency scale</x:v>
      </x:c>
      <x:c r="BJ6" s="10" t="str">
        <x:v>Modeled estimate using observed inputs + disclosed assumptions</x:v>
      </x:c>
      <x:c r="BK6" s="11" t="b">
        <x:v>0</x:v>
      </x:c>
      <x:c r="BL6" s="11" t="b">
        <x:v>0</x:v>
      </x:c>
      <x:c r="BM6" s="11" t="b">
        <x:v>0</x:v>
      </x:c>
      <x:c r="BN6" s="10" t="str">
        <x:v>Conditional scenario sensitivity; not a forecast or probability</x:v>
      </x:c>
      <x:c r="BO6" s="14" t="n">
        <x:v>100.58296022603469</x:v>
      </x:c>
    </x:row>
    <x:row r="7" ht="18" customHeight="1">
      <x:c r="A7" s="10" t="str">
        <x:v>CAT</x:v>
      </x:c>
      <x:c r="B7" s="10" t="str">
        <x:v>Industrials</x:v>
      </x:c>
      <x:c r="C7" s="10" t="str">
        <x:v>cp_vs_baseline</x:v>
      </x:c>
      <x:c r="D7" s="10" t="str">
        <x:v>Current Policies vs baseline</x:v>
      </x:c>
      <x:c r="E7" s="10" t="str">
        <x:v>CP vs baseline</x:v>
      </x:c>
      <x:c r="F7" s="10" t="str">
        <x:v>current_policies</x:v>
      </x:c>
      <x:c r="G7" s="10" t="str">
        <x:v>baseline</x:v>
      </x:c>
      <x:c r="H7" s="10" t="n">
        <x:v>2050</x:v>
      </x:c>
      <x:c r="I7" s="10" t="str">
        <x:v>high</x:v>
      </x:c>
      <x:c r="J7" s="11" t="b">
        <x:v>1</x:v>
      </x:c>
      <x:c r="K7" s="10" t="str">
        <x:v>CFP-2026-003-R17-20260804T234500Z</x:v>
      </x:c>
      <x:c r="L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 s="14" t="n">
        <x:v>-1.2573238733975978</x:v>
      </x:c>
      <x:c r="N7" s="12" t="n">
        <x:v>121641418108.2752</x:v>
      </x:c>
      <x:c r="O7" s="12" t="n">
        <x:v>120111991518.46048</x:v>
      </x:c>
      <x:c r="P7" s="12" t="n">
        <x:v>18326479866.126686</x:v>
      </x:c>
      <x:c r="Q7" s="12" t="n">
        <x:v>17925340955.849358</x:v>
      </x:c>
      <x:c r="R7" s="12" t="n">
        <x:v>-401138910.2773285</x:v>
      </x:c>
      <x:c r="S7" s="12" t="n">
        <x:v>10636693843.707409</x:v>
      </x:c>
      <x:c r="T7" s="14" t="n">
        <x:v>0.07742963500580559</x:v>
      </x:c>
      <x:c r="U7" s="14" t="n">
        <x:v>0.6307988770623402</x:v>
      </x:c>
      <x:c r="V7" s="14" t="n">
        <x:v>1.4806201550387597</x:v>
      </x:c>
      <x:c r="W7" s="12" t="n">
        <x:v>14190126.46975434</x:v>
      </x:c>
      <x:c r="X7" s="12" t="n">
        <x:v>115603229.200583</x:v>
      </x:c>
      <x:c r="Y7" s="12" t="n">
        <x:v>271345554.606992</x:v>
      </x:c>
      <x:c r="Z7" s="14" t="n">
        <x:v>-0.031039179288601393</x:v>
      </x:c>
      <x:c r="AA7" s="14" t="n">
        <x:v>-0.5803418417012323</x:v>
      </x:c>
      <x:c r="AB7" s="14" t="n">
        <x:v>-0.6459428524077598</x:v>
      </x:c>
      <x:c r="AC7" s="12" t="n">
        <x:v>798947.2986489712</x:v>
      </x:c>
      <x:c r="AD7" s="12" t="n">
        <x:v>608022.3927218274</x:v>
      </x:c>
      <x:c r="AE7" s="12" t="n">
        <x:v>12783156.778383542</x:v>
      </x:c>
      <x:c r="AF7" s="12" t="n">
        <x:v>4473365.097976735</x:v>
      </x:c>
      <x:c r="AG7" s="12" t="n">
        <x:v>111129864.10260627</x:v>
      </x:c>
      <x:c r="AH7" s="13" t="n">
        <x:v>680000</x:v>
      </x:c>
      <x:c r="AI7" s="13" t="n">
        <x:v>690000</x:v>
      </x:c>
      <x:c r="AJ7" s="13" t="n">
        <x:v>680000000</x:v>
      </x:c>
      <x:c r="AK7" s="12" t="n">
        <x:v>15140000000</x:v>
      </x:c>
      <x:c r="AL7" s="14" t="n">
        <x:v>0.1250652491518801</x:v>
      </x:c>
      <x:c r="AM7" s="13" t="n">
        <x:v>7</x:v>
      </x:c>
      <x:c r="AN7" s="13" t="n">
        <x:v>7</x:v>
      </x:c>
      <x:c r="AO7" s="14" t="n">
        <x:v>100</x:v>
      </x:c>
      <x:c r="AP7" s="10" t="str">
        <x:v>High</x:v>
      </x:c>
      <x:c r="AQ7" s="10" t="str">
        <x:v>Issuer facility-to-FEMA county match</x:v>
      </x:c>
      <x:c r="AR7" s="14" t="n">
        <x:v>0.1250652491518801</x:v>
      </x:c>
      <x:c r="AS7" s="14" t="n">
        <x:v>7.579869737287252</x:v>
      </x:c>
      <x:c r="AT7" s="14" t="n">
        <x:v>0</x:v>
      </x:c>
      <x:c r="AU7" s="14" t="n">
        <x:v>11.136677389433892</x:v>
      </x:c>
      <x:c r="AV7" s="14" t="n">
        <x:v>2.1999999999999997</x:v>
      </x:c>
      <x:c r="AW7" s="10" t="n">
        <x:v>1</x:v>
      </x:c>
      <x:c r="AX7" s="10" t="n">
        <x:v>0.3</x:v>
      </x:c>
      <x:c r="AY7" s="10" t="n">
        <x:v>0.75</x:v>
      </x:c>
      <x:c r="AZ7" s="10" t="n">
        <x:v>0.016</x:v>
      </x:c>
      <x:c r="BA7" s="10" t="n">
        <x:v>0.01</x:v>
      </x:c>
      <x:c r="BB7" s="10" t="n">
        <x:v>0.3375</x:v>
      </x:c>
      <x:c r="BC7" s="10" t="n">
        <x:v>0.3</x:v>
      </x:c>
      <x:c r="BD7" s="10" t="n">
        <x:v>0.2</x:v>
      </x:c>
      <x:c r="BE7" s="10" t="n">
        <x:v>0.4</x:v>
      </x:c>
      <x:c r="BF7" s="10" t="n">
        <x:v>1</x:v>
      </x:c>
      <x:c r="BG7" s="10" t="n">
        <x:v>1</x:v>
      </x:c>
      <x:c r="BH7" s="10" t="n">
        <x:v>0.7403100775193798</x:v>
      </x:c>
      <x:c r="BI7" s="10" t="str">
        <x:v>Common scenario elasticity + issuer SEC CapEx/CFO dependency scale</x:v>
      </x:c>
      <x:c r="BJ7" s="10" t="str">
        <x:v>Modeled estimate using observed inputs + disclosed assumptions</x:v>
      </x:c>
      <x:c r="BK7" s="11" t="b">
        <x:v>0</x:v>
      </x:c>
      <x:c r="BL7" s="11" t="b">
        <x:v>0</x:v>
      </x:c>
      <x:c r="BM7" s="11" t="b">
        <x:v>0</x:v>
      </x:c>
      <x:c r="BN7" s="10" t="str">
        <x:v>Conditional scenario sensitivity; not a forecast or probability</x:v>
      </x:c>
      <x:c r="BO7" s="14" t="n">
        <x:v>101.27333380329446</x:v>
      </x:c>
    </x:row>
    <x:row r="8" ht="18" customHeight="1">
      <x:c r="A8" s="10" t="str">
        <x:v>CVX</x:v>
      </x:c>
      <x:c r="B8" s="10" t="str">
        <x:v>Energy</x:v>
      </x:c>
      <x:c r="C8" s="10" t="str">
        <x:v>cp_vs_baseline</x:v>
      </x:c>
      <x:c r="D8" s="10" t="str">
        <x:v>Current Policies vs baseline</x:v>
      </x:c>
      <x:c r="E8" s="10" t="str">
        <x:v>CP vs baseline</x:v>
      </x:c>
      <x:c r="F8" s="10" t="str">
        <x:v>current_policies</x:v>
      </x:c>
      <x:c r="G8" s="10" t="str">
        <x:v>baseline</x:v>
      </x:c>
      <x:c r="H8" s="10" t="n">
        <x:v>2050</x:v>
      </x:c>
      <x:c r="I8" s="10" t="str">
        <x:v>low</x:v>
      </x:c>
      <x:c r="J8" s="11" t="b">
        <x:v>1</x:v>
      </x:c>
      <x:c r="K8" s="10" t="str">
        <x:v>CFP-2026-003-R17-20260804T234500Z</x:v>
      </x:c>
      <x:c r="L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 s="14" t="n">
        <x:v>-0.6244122467019553</x:v>
      </x:c>
      <x:c r="N8" s="12" t="n">
        <x:v>376652049847.3526</x:v>
      </x:c>
      <x:c r="O8" s="12" t="n">
        <x:v>374300188320.6518</x:v>
      </x:c>
      <x:c r="P8" s="12" t="n">
        <x:v>28339039686.316536</x:v>
      </x:c>
      <x:c r="Q8" s="12" t="n">
        <x:v>28060765134.98977</x:v>
      </x:c>
      <x:c r="R8" s="12" t="n">
        <x:v>-278274551.32676697</x:v>
      </x:c>
      <x:c r="S8" s="12" t="n">
        <x:v>18142230456.32</x:v>
      </x:c>
      <x:c r="T8" s="14" t="n">
        <x:v>0.017836314230895364</x:v>
      </x:c>
      <x:c r="U8" s="14" t="n">
        <x:v>0.2563253682166432</x:v>
      </x:c>
      <x:c r="V8" s="14" t="n">
        <x:v>0.7077860278735378</x:v>
      </x:c>
      <x:c r="W8" s="12" t="n">
        <x:v>5054640.168469561</x:v>
      </x:c>
      <x:c r="X8" s="12" t="n">
        <x:v>72640147.8250115</x:v>
      </x:c>
      <x:c r="Y8" s="12" t="n">
        <x:v>200579763.3332853</x:v>
      </x:c>
      <x:c r="Z8" s="14" t="n">
        <x:v>-0.012385124295967987</x:v>
      </x:c>
      <x:c r="AA8" s="14" t="n">
        <x:v>-0.18599494421620796</x:v>
      </x:c>
      <x:c r="AB8" s="14" t="n">
        <x:v>-0.42603217818977474</x:v>
      </x:c>
      <x:c r="AC8" s="12" t="n">
        <x:v>4848489.574700802</x:v>
      </x:c>
      <x:c r="AD8" s="12" t="n">
        <x:v>89786.84397594079</x:v>
      </x:c>
      <x:c r="AE8" s="12" t="n">
        <x:v>116363.74979281925</x:v>
      </x:c>
      <x:c r="AF8" s="12" t="n">
        <x:v>56529680.627354525</x:v>
      </x:c>
      <x:c r="AG8" s="12" t="n">
        <x:v>16110467.197656987</x:v>
      </x:c>
      <x:c r="AH8" s="13" t="n">
        <x:v>54000000</x:v>
      </x:c>
      <x:c r="AI8" s="13" t="n">
        <x:v>4000000</x:v>
      </x:c>
      <x:c r="AJ8" s="13" t="n">
        <x:v>432000000</x:v>
      </x:c>
      <x:c r="AK8" s="12" t="n">
        <x:v>219729000000</x:v>
      </x:c>
      <x:c r="AL8" s="14" t="n">
        <x:v>0.31761728843062803</x:v>
      </x:c>
      <x:c r="AM8" s="13" t="n">
        <x:v>34</x:v>
      </x:c>
      <x:c r="AN8" s="13" t="n">
        <x:v>53</x:v>
      </x:c>
      <x:c r="AO8" s="14" t="n">
        <x:v>64.15094339622641</x:v>
      </x:c>
      <x:c r="AP8" s="10" t="str">
        <x:v>Medium</x:v>
      </x:c>
      <x:c r="AQ8" s="10" t="str">
        <x:v>Issuer facility-to-FEMA county match</x:v>
      </x:c>
      <x:c r="AR8" s="14" t="n">
        <x:v>0.31761728843062803</x:v>
      </x:c>
      <x:c r="AS8" s="14" t="n">
        <x:v>7.579869737287252</x:v>
      </x:c>
      <x:c r="AT8" s="14" t="n">
        <x:v>0</x:v>
      </x:c>
      <x:c r="AU8" s="14" t="n">
        <x:v>6.7034090248596065</x:v>
      </x:c>
      <x:c r="AV8" s="14" t="n">
        <x:v>1.7999999999999998</x:v>
      </x:c>
      <x:c r="AW8" s="10" t="n">
        <x:v>0.5</x:v>
      </x:c>
      <x:c r="AX8" s="10" t="n">
        <x:v>0.7</x:v>
      </x:c>
      <x:c r="AY8" s="10" t="n">
        <x:v>0.25</x:v>
      </x:c>
      <x:c r="AZ8" s="10" t="n">
        <x:v>0.0015</x:v>
      </x:c>
      <x:c r="BA8" s="10" t="n">
        <x:v>0.05</x:v>
      </x:c>
      <x:c r="BB8" s="10" t="n">
        <x:v>0.27</x:v>
      </x:c>
      <x:c r="BC8" s="10" t="n">
        <x:v>0.7</x:v>
      </x:c>
      <x:c r="BD8" s="10" t="n">
        <x:v>0.05</x:v>
      </x:c>
      <x:c r="BE8" s="10" t="n">
        <x:v>0.15</x:v>
      </x:c>
      <x:c r="BF8" s="10" t="n">
        <x:v>1</x:v>
      </x:c>
      <x:c r="BG8" s="10" t="n">
        <x:v>0.35</x:v>
      </x:c>
      <x:c r="BH8" s="10" t="n">
        <x:v>1.0111228969621968</x:v>
      </x:c>
      <x:c r="BI8" s="10" t="str">
        <x:v>Common scenario elasticity + issuer SEC CapEx/CFO dependency scale</x:v>
      </x:c>
      <x:c r="BJ8" s="10" t="str">
        <x:v>Modeled estimate using observed inputs + disclosed assumptions</x:v>
      </x:c>
      <x:c r="BK8" s="11" t="b">
        <x:v>0</x:v>
      </x:c>
      <x:c r="BL8" s="11" t="b">
        <x:v>0</x:v>
      </x:c>
      <x:c r="BM8" s="11" t="b">
        <x:v>0</x:v>
      </x:c>
      <x:c r="BN8" s="10" t="str">
        <x:v>Conditional scenario sensitivity; not a forecast or probability</x:v>
      </x:c>
      <x:c r="BO8" s="14" t="n">
        <x:v>100.62833565146005</x:v>
      </x:c>
    </x:row>
    <x:row r="9" ht="18" customHeight="1">
      <x:c r="A9" s="10" t="str">
        <x:v>CVX</x:v>
      </x:c>
      <x:c r="B9" s="10" t="str">
        <x:v>Energy</x:v>
      </x:c>
      <x:c r="C9" s="10" t="str">
        <x:v>cp_vs_baseline</x:v>
      </x:c>
      <x:c r="D9" s="10" t="str">
        <x:v>Current Policies vs baseline</x:v>
      </x:c>
      <x:c r="E9" s="10" t="str">
        <x:v>CP vs baseline</x:v>
      </x:c>
      <x:c r="F9" s="10" t="str">
        <x:v>current_policies</x:v>
      </x:c>
      <x:c r="G9" s="10" t="str">
        <x:v>baseline</x:v>
      </x:c>
      <x:c r="H9" s="10" t="n">
        <x:v>2050</x:v>
      </x:c>
      <x:c r="I9" s="10" t="str">
        <x:v>base</x:v>
      </x:c>
      <x:c r="J9" s="11" t="b">
        <x:v>1</x:v>
      </x:c>
      <x:c r="K9" s="10" t="str">
        <x:v>CFP-2026-003-R17-20260804T234500Z</x:v>
      </x:c>
      <x:c r="L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 s="14" t="n">
        <x:v>-1.3254922218104204</x:v>
      </x:c>
      <x:c r="N9" s="12" t="n">
        <x:v>376652049847.3526</x:v>
      </x:c>
      <x:c r="O9" s="12" t="n">
        <x:v>371659556223.3364</x:v>
      </x:c>
      <x:c r="P9" s="12" t="n">
        <x:v>28339039686.316536</x:v>
      </x:c>
      <x:c r="Q9" s="12" t="n">
        <x:v>27762645856.760303</x:v>
      </x:c>
      <x:c r="R9" s="12" t="n">
        <x:v>-576393829.5562325</x:v>
      </x:c>
      <x:c r="S9" s="12" t="n">
        <x:v>18142230456.32</x:v>
      </x:c>
      <x:c r="T9" s="14" t="n">
        <x:v>0.07697635129337549</x:v>
      </x:c>
      <x:c r="U9" s="14" t="n">
        <x:v>0.7435977022849278</x:v>
      </x:c>
      <x:c r="V9" s="14" t="n">
        <x:v>1.2133474763546361</x:v>
      </x:c>
      <x:c r="W9" s="12" t="n">
        <x:v>21814358.74210811</x:v>
      </x:c>
      <x:c r="X9" s="12" t="n">
        <x:v>210728447.9570636</x:v>
      </x:c>
      <x:c r="Y9" s="12" t="n">
        <x:v>343851022.8570605</x:v>
      </x:c>
      <x:c r="Z9" s="14" t="n">
        <x:v>-0.04834688984290073</x:v>
      </x:c>
      <x:c r="AA9" s="14" t="n">
        <x:v>-0.5468044550707817</x:v>
      </x:c>
      <x:c r="AB9" s="14" t="n">
        <x:v>-0.73034087689674</x:v>
      </x:c>
      <x:c r="AC9" s="12" t="n">
        <x:v>20405615.508485276</x:v>
      </x:c>
      <x:c r="AD9" s="12" t="n">
        <x:v>755763.5373513065</x:v>
      </x:c>
      <x:c r="AE9" s="12" t="n">
        <x:v>652979.6962715288</x:v>
      </x:c>
      <x:c r="AF9" s="12" t="n">
        <x:v>157026890.6315403</x:v>
      </x:c>
      <x:c r="AG9" s="12" t="n">
        <x:v>53701557.32552329</x:v>
      </x:c>
      <x:c r="AH9" s="13" t="n">
        <x:v>54000000</x:v>
      </x:c>
      <x:c r="AI9" s="13" t="n">
        <x:v>4000000</x:v>
      </x:c>
      <x:c r="AJ9" s="13" t="n">
        <x:v>432000000</x:v>
      </x:c>
      <x:c r="AK9" s="12" t="n">
        <x:v>219729000000</x:v>
      </x:c>
      <x:c r="AL9" s="14" t="n">
        <x:v>0.31761728843062803</x:v>
      </x:c>
      <x:c r="AM9" s="13" t="n">
        <x:v>34</x:v>
      </x:c>
      <x:c r="AN9" s="13" t="n">
        <x:v>53</x:v>
      </x:c>
      <x:c r="AO9" s="14" t="n">
        <x:v>64.15094339622641</x:v>
      </x:c>
      <x:c r="AP9" s="10" t="str">
        <x:v>Medium</x:v>
      </x:c>
      <x:c r="AQ9" s="10" t="str">
        <x:v>Issuer facility-to-FEMA county match</x:v>
      </x:c>
      <x:c r="AR9" s="14" t="n">
        <x:v>0.31761728843062803</x:v>
      </x:c>
      <x:c r="AS9" s="14" t="n">
        <x:v>7.579869737287252</x:v>
      </x:c>
      <x:c r="AT9" s="14" t="n">
        <x:v>0</x:v>
      </x:c>
      <x:c r="AU9" s="14" t="n">
        <x:v>6.7034090248596065</x:v>
      </x:c>
      <x:c r="AV9" s="14" t="n">
        <x:v>1.7999999999999998</x:v>
      </x:c>
      <x:c r="AW9" s="10" t="n">
        <x:v>0.75</x:v>
      </x:c>
      <x:c r="AX9" s="10" t="n">
        <x:v>0.5</x:v>
      </x:c>
      <x:c r="AY9" s="10" t="n">
        <x:v>0.5</x:v>
      </x:c>
      <x:c r="AZ9" s="10" t="n">
        <x:v>0.003</x:v>
      </x:c>
      <x:c r="BA9" s="10" t="n">
        <x:v>0.03</x:v>
      </x:c>
      <x:c r="BB9" s="10" t="n">
        <x:v>0.45</x:v>
      </x:c>
      <x:c r="BC9" s="10" t="n">
        <x:v>0.5</x:v>
      </x:c>
      <x:c r="BD9" s="10" t="n">
        <x:v>0.1</x:v>
      </x:c>
      <x:c r="BE9" s="10" t="n">
        <x:v>0.25</x:v>
      </x:c>
      <x:c r="BF9" s="10" t="n">
        <x:v>1</x:v>
      </x:c>
      <x:c r="BG9" s="10" t="n">
        <x:v>0.6</x:v>
      </x:c>
      <x:c r="BH9" s="10" t="n">
        <x:v>1.0111228969621968</x:v>
      </x:c>
      <x:c r="BI9" s="10" t="str">
        <x:v>Common scenario elasticity + issuer SEC CapEx/CFO dependency scale</x:v>
      </x:c>
      <x:c r="BJ9" s="10" t="str">
        <x:v>Modeled estimate using observed inputs + disclosed assumptions</x:v>
      </x:c>
      <x:c r="BK9" s="11" t="b">
        <x:v>0</x:v>
      </x:c>
      <x:c r="BL9" s="11" t="b">
        <x:v>0</x:v>
      </x:c>
      <x:c r="BM9" s="11" t="b">
        <x:v>0</x:v>
      </x:c>
      <x:c r="BN9" s="10" t="str">
        <x:v>Conditional scenario sensitivity; not a forecast or probability</x:v>
      </x:c>
      <x:c r="BO9" s="14" t="n">
        <x:v>101.34329752603377</x:v>
      </x:c>
    </x:row>
    <x:row r="10" ht="18" customHeight="1">
      <x:c r="A10" s="10" t="str">
        <x:v>CVX</x:v>
      </x:c>
      <x:c r="B10" s="10" t="str">
        <x:v>Energy</x:v>
      </x:c>
      <x:c r="C10" s="10" t="str">
        <x:v>cp_vs_baseline</x:v>
      </x:c>
      <x:c r="D10" s="10" t="str">
        <x:v>Current Policies vs baseline</x:v>
      </x:c>
      <x:c r="E10" s="10" t="str">
        <x:v>CP vs baseline</x:v>
      </x:c>
      <x:c r="F10" s="10" t="str">
        <x:v>current_policies</x:v>
      </x:c>
      <x:c r="G10" s="10" t="str">
        <x:v>baseline</x:v>
      </x:c>
      <x:c r="H10" s="10" t="n">
        <x:v>2050</x:v>
      </x:c>
      <x:c r="I10" s="10" t="str">
        <x:v>high</x:v>
      </x:c>
      <x:c r="J10" s="11" t="b">
        <x:v>1</x:v>
      </x:c>
      <x:c r="K10" s="10" t="str">
        <x:v>CFP-2026-003-R17-20260804T234500Z</x:v>
      </x:c>
      <x:c r="L1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 s="14" t="n">
        <x:v>-2.630297552837446</x:v>
      </x:c>
      <x:c r="N10" s="12" t="n">
        <x:v>376652049847.3526</x:v>
      </x:c>
      <x:c r="O10" s="12" t="n">
        <x:v>366744980197.5056</x:v>
      </x:c>
      <x:c r="P10" s="12" t="n">
        <x:v>28339039686.316536</x:v>
      </x:c>
      <x:c r="Q10" s="12" t="n">
        <x:v>27227312859.984547</x:v>
      </x:c>
      <x:c r="R10" s="12" t="n">
        <x:v>-1111726826.3319893</x:v>
      </x:c>
      <x:c r="S10" s="12" t="n">
        <x:v>18142230456.32</x:v>
      </x:c>
      <x:c r="T10" s="14" t="n">
        <x:v>0.24706546967224619</x:v>
      </x:c>
      <x:c r="U10" s="14" t="n">
        <x:v>1.653640391214671</x:v>
      </x:c>
      <x:c r="V10" s="14" t="n">
        <x:v>2.022245793924394</x:v>
      </x:c>
      <x:c r="W10" s="12" t="n">
        <x:v>70015981.50160219</x:v>
      </x:c>
      <x:c r="X10" s="12" t="n">
        <x:v>468625806.7352857</x:v>
      </x:c>
      <x:c r="Y10" s="12" t="n">
        <x:v>573085038.0951009</x:v>
      </x:c>
      <x:c r="Z10" s="14" t="n">
        <x:v>-0.14260893645691824</x:v>
      </x:c>
      <x:c r="AA10" s="14" t="n">
        <x:v>-1.2704538215526073</x:v>
      </x:c>
      <x:c r="AB10" s="14" t="n">
        <x:v>-1.217234794827918</x:v>
      </x:c>
      <x:c r="AC10" s="12" t="n">
        <x:v>63445814.892712414</x:v>
      </x:c>
      <x:c r="AD10" s="12" t="n">
        <x:v>3524767.494039579</x:v>
      </x:c>
      <x:c r="AE10" s="12" t="n">
        <x:v>3045399.114850196</x:v>
      </x:c>
      <x:c r="AF10" s="12" t="n">
        <x:v>296780823.29361117</x:v>
      </x:c>
      <x:c r="AG10" s="12" t="n">
        <x:v>171844983.44167453</x:v>
      </x:c>
      <x:c r="AH10" s="13" t="n">
        <x:v>54000000</x:v>
      </x:c>
      <x:c r="AI10" s="13" t="n">
        <x:v>4000000</x:v>
      </x:c>
      <x:c r="AJ10" s="13" t="n">
        <x:v>432000000</x:v>
      </x:c>
      <x:c r="AK10" s="12" t="n">
        <x:v>219729000000</x:v>
      </x:c>
      <x:c r="AL10" s="14" t="n">
        <x:v>0.31761728843062803</x:v>
      </x:c>
      <x:c r="AM10" s="13" t="n">
        <x:v>34</x:v>
      </x:c>
      <x:c r="AN10" s="13" t="n">
        <x:v>53</x:v>
      </x:c>
      <x:c r="AO10" s="14" t="n">
        <x:v>64.15094339622641</x:v>
      </x:c>
      <x:c r="AP10" s="10" t="str">
        <x:v>Medium</x:v>
      </x:c>
      <x:c r="AQ10" s="10" t="str">
        <x:v>Issuer facility-to-FEMA county match</x:v>
      </x:c>
      <x:c r="AR10" s="14" t="n">
        <x:v>0.31761728843062803</x:v>
      </x:c>
      <x:c r="AS10" s="14" t="n">
        <x:v>7.579869737287252</x:v>
      </x:c>
      <x:c r="AT10" s="14" t="n">
        <x:v>0</x:v>
      </x:c>
      <x:c r="AU10" s="14" t="n">
        <x:v>6.7034090248596065</x:v>
      </x:c>
      <x:c r="AV10" s="14" t="n">
        <x:v>1.7999999999999998</x:v>
      </x:c>
      <x:c r="AW10" s="10" t="n">
        <x:v>1</x:v>
      </x:c>
      <x:c r="AX10" s="10" t="n">
        <x:v>0.3</x:v>
      </x:c>
      <x:c r="AY10" s="10" t="n">
        <x:v>0.75</x:v>
      </x:c>
      <x:c r="AZ10" s="10" t="n">
        <x:v>0.006</x:v>
      </x:c>
      <x:c r="BA10" s="10" t="n">
        <x:v>0.01</x:v>
      </x:c>
      <x:c r="BB10" s="10" t="n">
        <x:v>0.6075</x:v>
      </x:c>
      <x:c r="BC10" s="10" t="n">
        <x:v>0.3</x:v>
      </x:c>
      <x:c r="BD10" s="10" t="n">
        <x:v>0.2</x:v>
      </x:c>
      <x:c r="BE10" s="10" t="n">
        <x:v>0.4</x:v>
      </x:c>
      <x:c r="BF10" s="10" t="n">
        <x:v>1</x:v>
      </x:c>
      <x:c r="BG10" s="10" t="n">
        <x:v>1</x:v>
      </x:c>
      <x:c r="BH10" s="10" t="n">
        <x:v>1.0111228969621968</x:v>
      </x:c>
      <x:c r="BI10" s="10" t="str">
        <x:v>Common scenario elasticity + issuer SEC CapEx/CFO dependency scale</x:v>
      </x:c>
      <x:c r="BJ10" s="10" t="str">
        <x:v>Modeled estimate using observed inputs + disclosed assumptions</x:v>
      </x:c>
      <x:c r="BK10" s="11" t="b">
        <x:v>0</x:v>
      </x:c>
      <x:c r="BL10" s="11" t="b">
        <x:v>0</x:v>
      </x:c>
      <x:c r="BM10" s="11" t="b">
        <x:v>0</x:v>
      </x:c>
      <x:c r="BN10" s="10" t="str">
        <x:v>Conditional scenario sensitivity; not a forecast or probability</x:v>
      </x:c>
      <x:c r="BO10" s="14" t="n">
        <x:v>102.7013511253819</x:v>
      </x:c>
    </x:row>
    <x:row r="11" ht="18" customHeight="1">
      <x:c r="A11" s="10" t="str">
        <x:v>DE</x:v>
      </x:c>
      <x:c r="B11" s="10" t="str">
        <x:v>Industrials</x:v>
      </x:c>
      <x:c r="C11" s="10" t="str">
        <x:v>cp_vs_baseline</x:v>
      </x:c>
      <x:c r="D11" s="10" t="str">
        <x:v>Current Policies vs baseline</x:v>
      </x:c>
      <x:c r="E11" s="10" t="str">
        <x:v>CP vs baseline</x:v>
      </x:c>
      <x:c r="F11" s="10" t="str">
        <x:v>current_policies</x:v>
      </x:c>
      <x:c r="G11" s="10" t="str">
        <x:v>baseline</x:v>
      </x:c>
      <x:c r="H11" s="10" t="n">
        <x:v>2050</x:v>
      </x:c>
      <x:c r="I11" s="10" t="str">
        <x:v>low</x:v>
      </x:c>
      <x:c r="J11" s="11" t="b">
        <x:v>1</x:v>
      </x:c>
      <x:c r="K11" s="10" t="str">
        <x:v>CFP-2026-003-R17-20260804T234500Z</x:v>
      </x:c>
      <x:c r="L1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 s="14" t="n">
        <x:v>-0.3257429195263617</x:v>
      </x:c>
      <x:c r="N11" s="12" t="n">
        <x:v>156035291063.10095</x:v>
      </x:c>
      <x:c r="O11" s="12" t="n">
        <x:v>155527017150.50055</x:v>
      </x:c>
      <x:c r="P11" s="12" t="n">
        <x:v>14871029621.789665</x:v>
      </x:c>
      <x:c r="Q11" s="12" t="n">
        <x:v>14791068126.262678</x:v>
      </x:c>
      <x:c r="R11" s="12" t="n">
        <x:v>-79961495.52698708</x:v>
      </x:c>
      <x:c r="S11" s="12" t="n">
        <x:v>8631149592.456448</x:v>
      </x:c>
      <x:c r="T11" s="14" t="n">
        <x:v>0.0006422834841208754</x:v>
      </x:c>
      <x:c r="U11" s="14" t="n">
        <x:v>0.059426460003617836</x:v>
      </x:c>
      <x:c r="V11" s="14" t="n">
        <x:v>0.4776310497385709</x:v>
      </x:c>
      <x:c r="W11" s="12" t="n">
        <x:v>95514.1671794781</x:v>
      </x:c>
      <x:c r="X11" s="12" t="n">
        <x:v>8837326.470318995</x:v>
      </x:c>
      <x:c r="Y11" s="12" t="n">
        <x:v>71028654.8894878</x:v>
      </x:c>
      <x:c r="Z11" s="14" t="n">
        <x:v>-0.0004329961717639025</x:v>
      </x:c>
      <x:c r="AA11" s="14" t="n">
        <x:v>-0.055687857856526</x:v>
      </x:c>
      <x:c r="AB11" s="14" t="n">
        <x:v>-0.2696220654980728</x:v>
      </x:c>
      <x:c r="AC11" s="12" t="n">
        <x:v>31775.564083085443</x:v>
      </x:c>
      <x:c r="AD11" s="12" t="n">
        <x:v>5028.063262652684</x:v>
      </x:c>
      <x:c r="AE11" s="12" t="n">
        <x:v>58710.53983373997</x:v>
      </x:c>
      <x:c r="AF11" s="12" t="n">
        <x:v>383291.4158810637</x:v>
      </x:c>
      <x:c r="AG11" s="12" t="n">
        <x:v>8454035.054437932</x:v>
      </x:c>
      <x:c r="AH11" s="13" t="n">
        <x:v>353900</x:v>
      </x:c>
      <x:c r="AI11" s="13" t="n">
        <x:v>224000</x:v>
      </x:c>
      <x:c r="AJ11" s="13" t="n">
        <x:v>81736000</x:v>
      </x:c>
      <x:c r="AK11" s="12" t="n">
        <x:v>8079000000</x:v>
      </x:c>
      <x:c r="AL11" s="14" t="n">
        <x:v>0.1054287290454164</x:v>
      </x:c>
      <x:c r="AM11" s="13" t="n">
        <x:v>1</x:v>
      </x:c>
      <x:c r="AN11" s="13" t="n">
        <x:v>1</x:v>
      </x:c>
      <x:c r="AO11" s="14" t="n">
        <x:v>100</x:v>
      </x:c>
      <x:c r="AP11" s="10" t="str">
        <x:v>High</x:v>
      </x:c>
      <x:c r="AQ11" s="10" t="str">
        <x:v>Issuer facility-to-FEMA county match</x:v>
      </x:c>
      <x:c r="AR11" s="14" t="n">
        <x:v>0.1054287290454164</x:v>
      </x:c>
      <x:c r="AS11" s="14" t="n">
        <x:v>7.579869737287252</x:v>
      </x:c>
      <x:c r="AT11" s="14" t="n">
        <x:v>0</x:v>
      </x:c>
      <x:c r="AU11" s="14" t="n">
        <x:v>7.853230639934694</x:v>
      </x:c>
      <x:c r="AV11" s="14" t="n">
        <x:v>2.1999999999999997</x:v>
      </x:c>
      <x:c r="AW11" s="10" t="n">
        <x:v>0.5</x:v>
      </x:c>
      <x:c r="AX11" s="10" t="n">
        <x:v>0.7</x:v>
      </x:c>
      <x:c r="AY11" s="10" t="n">
        <x:v>0.25</x:v>
      </x:c>
      <x:c r="AZ11" s="10" t="n">
        <x:v>0.004</x:v>
      </x:c>
      <x:c r="BA11" s="10" t="n">
        <x:v>0.05</x:v>
      </x:c>
      <x:c r="BB11" s="10" t="n">
        <x:v>0.15</x:v>
      </x:c>
      <x:c r="BC11" s="10" t="n">
        <x:v>0.7</x:v>
      </x:c>
      <x:c r="BD11" s="10" t="n">
        <x:v>0.05</x:v>
      </x:c>
      <x:c r="BE11" s="10" t="n">
        <x:v>0.15</x:v>
      </x:c>
      <x:c r="BF11" s="10" t="n">
        <x:v>1</x:v>
      </x:c>
      <x:c r="BG11" s="10" t="n">
        <x:v>0.35</x:v>
      </x:c>
      <x:c r="BH11" s="10" t="n">
        <x:v>0.6823300710551012</x:v>
      </x:c>
      <x:c r="BI11" s="10" t="str">
        <x:v>Common scenario elasticity + issuer SEC CapEx/CFO dependency scale</x:v>
      </x:c>
      <x:c r="BJ11" s="10" t="str">
        <x:v>Modeled estimate using observed inputs + disclosed assumptions</x:v>
      </x:c>
      <x:c r="BK11" s="11" t="b">
        <x:v>0</x:v>
      </x:c>
      <x:c r="BL11" s="11" t="b">
        <x:v>0</x:v>
      </x:c>
      <x:c r="BM11" s="11" t="b">
        <x:v>0</x:v>
      </x:c>
      <x:c r="BN11" s="10" t="str">
        <x:v>Conditional scenario sensitivity; not a forecast or probability</x:v>
      </x:c>
      <x:c r="BO11" s="14" t="n">
        <x:v>100.326807471726</x:v>
      </x:c>
    </x:row>
    <x:row r="12" ht="18" customHeight="1">
      <x:c r="A12" s="10" t="str">
        <x:v>DE</x:v>
      </x:c>
      <x:c r="B12" s="10" t="str">
        <x:v>Industrials</x:v>
      </x:c>
      <x:c r="C12" s="10" t="str">
        <x:v>cp_vs_baseline</x:v>
      </x:c>
      <x:c r="D12" s="10" t="str">
        <x:v>Current Policies vs baseline</x:v>
      </x:c>
      <x:c r="E12" s="10" t="str">
        <x:v>CP vs baseline</x:v>
      </x:c>
      <x:c r="F12" s="10" t="str">
        <x:v>current_policies</x:v>
      </x:c>
      <x:c r="G12" s="10" t="str">
        <x:v>baseline</x:v>
      </x:c>
      <x:c r="H12" s="10" t="n">
        <x:v>2050</x:v>
      </x:c>
      <x:c r="I12" s="10" t="str">
        <x:v>base</x:v>
      </x:c>
      <x:c r="J12" s="11" t="b">
        <x:v>1</x:v>
      </x:c>
      <x:c r="K12" s="10" t="str">
        <x:v>CFP-2026-003-R17-20260804T234500Z</x:v>
      </x:c>
      <x:c r="L1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2" s="14" t="n">
        <x:v>-0.6489577894968179</x:v>
      </x:c>
      <x:c r="N12" s="12" t="n">
        <x:v>156035291063.10095</x:v>
      </x:c>
      <x:c r="O12" s="12" t="n">
        <x:v>155022687887.38293</x:v>
      </x:c>
      <x:c r="P12" s="12" t="n">
        <x:v>14871029621.789665</x:v>
      </x:c>
      <x:c r="Q12" s="12" t="n">
        <x:v>14719515886.594145</x:v>
      </x:c>
      <x:c r="R12" s="12" t="n">
        <x:v>-151513735.1955204</x:v>
      </x:c>
      <x:c r="S12" s="12" t="n">
        <x:v>8631149592.456448</x:v>
      </x:c>
      <x:c r="T12" s="14" t="n">
        <x:v>0.0033993045594256444</x:v>
      </x:c>
      <x:c r="U12" s="14" t="n">
        <x:v>0.19665629058207978</x:v>
      </x:c>
      <x:c r="V12" s="14" t="n">
        <x:v>0.8187960852661216</x:v>
      </x:c>
      <x:c r="W12" s="12" t="n">
        <x:v>505511.58796703425</x:v>
      </x:c>
      <x:c r="X12" s="12" t="n">
        <x:v>29244815.225573845</x:v>
      </x:c>
      <x:c r="Y12" s="12" t="n">
        <x:v>121763408.38197911</x:v>
      </x:c>
      <x:c r="Z12" s="14" t="n">
        <x:v>-0.002042932077293213</x:v>
      </x:c>
      <x:c r="AA12" s="14" t="n">
        <x:v>-0.18470560227996083</x:v>
      </x:c>
      <x:c r="AB12" s="14" t="n">
        <x:v>-0.4622092551395586</x:v>
      </x:c>
      <x:c r="AC12" s="12" t="n">
        <x:v>133732.35793431368</x:v>
      </x:c>
      <x:c r="AD12" s="12" t="n">
        <x:v>42322.75809167316</x:v>
      </x:c>
      <x:c r="AE12" s="12" t="n">
        <x:v>329456.4719410474</x:v>
      </x:c>
      <x:c r="AF12" s="12" t="n">
        <x:v>1064698.3774473988</x:v>
      </x:c>
      <x:c r="AG12" s="12" t="n">
        <x:v>28180116.848126445</x:v>
      </x:c>
      <x:c r="AH12" s="13" t="n">
        <x:v>353900</x:v>
      </x:c>
      <x:c r="AI12" s="13" t="n">
        <x:v>224000</x:v>
      </x:c>
      <x:c r="AJ12" s="13" t="n">
        <x:v>81736000</x:v>
      </x:c>
      <x:c r="AK12" s="12" t="n">
        <x:v>8079000000</x:v>
      </x:c>
      <x:c r="AL12" s="14" t="n">
        <x:v>0.1054287290454164</x:v>
      </x:c>
      <x:c r="AM12" s="13" t="n">
        <x:v>1</x:v>
      </x:c>
      <x:c r="AN12" s="13" t="n">
        <x:v>1</x:v>
      </x:c>
      <x:c r="AO12" s="14" t="n">
        <x:v>100</x:v>
      </x:c>
      <x:c r="AP12" s="10" t="str">
        <x:v>High</x:v>
      </x:c>
      <x:c r="AQ12" s="10" t="str">
        <x:v>Issuer facility-to-FEMA county match</x:v>
      </x:c>
      <x:c r="AR12" s="14" t="n">
        <x:v>0.1054287290454164</x:v>
      </x:c>
      <x:c r="AS12" s="14" t="n">
        <x:v>7.579869737287252</x:v>
      </x:c>
      <x:c r="AT12" s="14" t="n">
        <x:v>0</x:v>
      </x:c>
      <x:c r="AU12" s="14" t="n">
        <x:v>7.853230639934694</x:v>
      </x:c>
      <x:c r="AV12" s="14" t="n">
        <x:v>2.1999999999999997</x:v>
      </x:c>
      <x:c r="AW12" s="10" t="n">
        <x:v>0.75</x:v>
      </x:c>
      <x:c r="AX12" s="10" t="n">
        <x:v>0.5</x:v>
      </x:c>
      <x:c r="AY12" s="10" t="n">
        <x:v>0.5</x:v>
      </x:c>
      <x:c r="AZ12" s="10" t="n">
        <x:v>0.008</x:v>
      </x:c>
      <x:c r="BA12" s="10" t="n">
        <x:v>0.03</x:v>
      </x:c>
      <x:c r="BB12" s="10" t="n">
        <x:v>0.25</x:v>
      </x:c>
      <x:c r="BC12" s="10" t="n">
        <x:v>0.5</x:v>
      </x:c>
      <x:c r="BD12" s="10" t="n">
        <x:v>0.1</x:v>
      </x:c>
      <x:c r="BE12" s="10" t="n">
        <x:v>0.25</x:v>
      </x:c>
      <x:c r="BF12" s="10" t="n">
        <x:v>1</x:v>
      </x:c>
      <x:c r="BG12" s="10" t="n">
        <x:v>0.6</x:v>
      </x:c>
      <x:c r="BH12" s="10" t="n">
        <x:v>0.6823300710551012</x:v>
      </x:c>
      <x:c r="BI12" s="10" t="str">
        <x:v>Common scenario elasticity + issuer SEC CapEx/CFO dependency scale</x:v>
      </x:c>
      <x:c r="BJ12" s="10" t="str">
        <x:v>Modeled estimate using observed inputs + disclosed assumptions</x:v>
      </x:c>
      <x:c r="BK12" s="11" t="b">
        <x:v>0</x:v>
      </x:c>
      <x:c r="BL12" s="11" t="b">
        <x:v>0</x:v>
      </x:c>
      <x:c r="BM12" s="11" t="b">
        <x:v>0</x:v>
      </x:c>
      <x:c r="BN12" s="10" t="str">
        <x:v>Conditional scenario sensitivity; not a forecast or probability</x:v>
      </x:c>
      <x:c r="BO12" s="14" t="n">
        <x:v>100.65319676075649</x:v>
      </x:c>
    </x:row>
    <x:row r="13" ht="18" customHeight="1">
      <x:c r="A13" s="10" t="str">
        <x:v>DE</x:v>
      </x:c>
      <x:c r="B13" s="10" t="str">
        <x:v>Industrials</x:v>
      </x:c>
      <x:c r="C13" s="10" t="str">
        <x:v>cp_vs_baseline</x:v>
      </x:c>
      <x:c r="D13" s="10" t="str">
        <x:v>Current Policies vs baseline</x:v>
      </x:c>
      <x:c r="E13" s="10" t="str">
        <x:v>CP vs baseline</x:v>
      </x:c>
      <x:c r="F13" s="10" t="str">
        <x:v>current_policies</x:v>
      </x:c>
      <x:c r="G13" s="10" t="str">
        <x:v>baseline</x:v>
      </x:c>
      <x:c r="H13" s="10" t="n">
        <x:v>2050</x:v>
      </x:c>
      <x:c r="I13" s="10" t="str">
        <x:v>high</x:v>
      </x:c>
      <x:c r="J13" s="11" t="b">
        <x:v>1</x:v>
      </x:c>
      <x:c r="K13" s="10" t="str">
        <x:v>CFP-2026-003-R17-20260804T234500Z</x:v>
      </x:c>
      <x:c r="L1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3" s="14" t="n">
        <x:v>-1.3632564139545944</x:v>
      </x:c>
      <x:c r="N13" s="12" t="n">
        <x:v>156035291063.10095</x:v>
      </x:c>
      <x:c r="O13" s="12" t="n">
        <x:v>153908129949.6505</x:v>
      </x:c>
      <x:c r="P13" s="12" t="n">
        <x:v>14871029621.789665</x:v>
      </x:c>
      <x:c r="Q13" s="12" t="n">
        <x:v>14573752226.475845</x:v>
      </x:c>
      <x:c r="R13" s="12" t="n">
        <x:v>-297277395.3138199</x:v>
      </x:c>
      <x:c r="S13" s="12" t="n">
        <x:v>8631149592.456448</x:v>
      </x:c>
      <x:c r="T13" s="14" t="n">
        <x:v>0.014455808045227178</x:v>
      </x:c>
      <x:c r="U13" s="14" t="n">
        <x:v>0.6199211230962884</x:v>
      </x:c>
      <x:c r="V13" s="14" t="n">
        <x:v>1.3646601421102027</x:v>
      </x:c>
      <x:c r="W13" s="12" t="n">
        <x:v>2149727.496474787</x:v>
      </x:c>
      <x:c r="X13" s="12" t="n">
        <x:v>92188653.84738022</x:v>
      </x:c>
      <x:c r="Y13" s="12" t="n">
        <x:v>202939013.9699652</x:v>
      </x:c>
      <x:c r="Z13" s="14" t="n">
        <x:v>-0.007879596359742872</x:v>
      </x:c>
      <x:c r="AA13" s="14" t="n">
        <x:v>-0.5850280590288862</x:v>
      </x:c>
      <x:c r="AB13" s="14" t="n">
        <x:v>-0.7703487585659624</x:v>
      </x:c>
      <x:c r="AC13" s="12" t="n">
        <x:v>415805.0720468691</x:v>
      </x:c>
      <x:c r="AD13" s="12" t="n">
        <x:v>197386.97966621644</x:v>
      </x:c>
      <x:c r="AE13" s="12" t="n">
        <x:v>1536535.4447617016</x:v>
      </x:c>
      <x:c r="AF13" s="12" t="n">
        <x:v>2012279.9333755837</x:v>
      </x:c>
      <x:c r="AG13" s="12" t="n">
        <x:v>90176373.91400464</x:v>
      </x:c>
      <x:c r="AH13" s="13" t="n">
        <x:v>353900</x:v>
      </x:c>
      <x:c r="AI13" s="13" t="n">
        <x:v>224000</x:v>
      </x:c>
      <x:c r="AJ13" s="13" t="n">
        <x:v>81736000</x:v>
      </x:c>
      <x:c r="AK13" s="12" t="n">
        <x:v>8079000000</x:v>
      </x:c>
      <x:c r="AL13" s="14" t="n">
        <x:v>0.1054287290454164</x:v>
      </x:c>
      <x:c r="AM13" s="13" t="n">
        <x:v>1</x:v>
      </x:c>
      <x:c r="AN13" s="13" t="n">
        <x:v>1</x:v>
      </x:c>
      <x:c r="AO13" s="14" t="n">
        <x:v>100</x:v>
      </x:c>
      <x:c r="AP13" s="10" t="str">
        <x:v>High</x:v>
      </x:c>
      <x:c r="AQ13" s="10" t="str">
        <x:v>Issuer facility-to-FEMA county match</x:v>
      </x:c>
      <x:c r="AR13" s="14" t="n">
        <x:v>0.1054287290454164</x:v>
      </x:c>
      <x:c r="AS13" s="14" t="n">
        <x:v>7.579869737287252</x:v>
      </x:c>
      <x:c r="AT13" s="14" t="n">
        <x:v>0</x:v>
      </x:c>
      <x:c r="AU13" s="14" t="n">
        <x:v>7.853230639934694</x:v>
      </x:c>
      <x:c r="AV13" s="14" t="n">
        <x:v>2.1999999999999997</x:v>
      </x:c>
      <x:c r="AW13" s="10" t="n">
        <x:v>1</x:v>
      </x:c>
      <x:c r="AX13" s="10" t="n">
        <x:v>0.3</x:v>
      </x:c>
      <x:c r="AY13" s="10" t="n">
        <x:v>0.75</x:v>
      </x:c>
      <x:c r="AZ13" s="10" t="n">
        <x:v>0.016</x:v>
      </x:c>
      <x:c r="BA13" s="10" t="n">
        <x:v>0.01</x:v>
      </x:c>
      <x:c r="BB13" s="10" t="n">
        <x:v>0.3375</x:v>
      </x:c>
      <x:c r="BC13" s="10" t="n">
        <x:v>0.3</x:v>
      </x:c>
      <x:c r="BD13" s="10" t="n">
        <x:v>0.2</x:v>
      </x:c>
      <x:c r="BE13" s="10" t="n">
        <x:v>0.4</x:v>
      </x:c>
      <x:c r="BF13" s="10" t="n">
        <x:v>1</x:v>
      </x:c>
      <x:c r="BG13" s="10" t="n">
        <x:v>1</x:v>
      </x:c>
      <x:c r="BH13" s="10" t="n">
        <x:v>0.6823300710551012</x:v>
      </x:c>
      <x:c r="BI13" s="10" t="str">
        <x:v>Common scenario elasticity + issuer SEC CapEx/CFO dependency scale</x:v>
      </x:c>
      <x:c r="BJ13" s="10" t="str">
        <x:v>Modeled estimate using observed inputs + disclosed assumptions</x:v>
      </x:c>
      <x:c r="BK13" s="11" t="b">
        <x:v>0</x:v>
      </x:c>
      <x:c r="BL13" s="11" t="b">
        <x:v>0</x:v>
      </x:c>
      <x:c r="BM13" s="11" t="b">
        <x:v>0</x:v>
      </x:c>
      <x:c r="BN13" s="10" t="str">
        <x:v>Conditional scenario sensitivity; not a forecast or probability</x:v>
      </x:c>
      <x:c r="BO13" s="14" t="n">
        <x:v>101.38209795294526</x:v>
      </x:c>
    </x:row>
    <x:row r="14" ht="18" customHeight="1">
      <x:c r="A14" s="10" t="str">
        <x:v>DUK</x:v>
      </x:c>
      <x:c r="B14" s="10" t="str">
        <x:v>Utilities</x:v>
      </x:c>
      <x:c r="C14" s="10" t="str">
        <x:v>cp_vs_baseline</x:v>
      </x:c>
      <x:c r="D14" s="10" t="str">
        <x:v>Current Policies vs baseline</x:v>
      </x:c>
      <x:c r="E14" s="10" t="str">
        <x:v>CP vs baseline</x:v>
      </x:c>
      <x:c r="F14" s="10" t="str">
        <x:v>current_policies</x:v>
      </x:c>
      <x:c r="G14" s="10" t="str">
        <x:v>baseline</x:v>
      </x:c>
      <x:c r="H14" s="10" t="n">
        <x:v>2050</x:v>
      </x:c>
      <x:c r="I14" s="10" t="str">
        <x:v>low</x:v>
      </x:c>
      <x:c r="J14" s="11" t="b">
        <x:v>1</x:v>
      </x:c>
      <x:c r="K14" s="10" t="str">
        <x:v>CFP-2026-003-R17-20260804T234500Z</x:v>
      </x:c>
      <x:c r="L1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4" s="14" t="n">
        <x:v>-1.912335646540475</x:v>
      </x:c>
      <x:c r="N14" s="12" t="n">
        <x:v>50132194683.06894</x:v>
      </x:c>
      <x:c r="O14" s="12" t="n">
        <x:v>49173498853.75154</x:v>
      </x:c>
      <x:c r="P14" s="12" t="n">
        <x:v>2512681140.1064544</x:v>
      </x:c>
      <x:c r="Q14" s="12" t="n">
        <x:v>2448564471.432889</x:v>
      </x:c>
      <x:c r="R14" s="12" t="n">
        <x:v>-64116668.67356539</x:v>
      </x:c>
      <x:c r="S14" s="12" t="n">
        <x:v>1531556722.6890755</x:v>
      </x:c>
      <x:c r="T14" s="14" t="n">
        <x:v>0.28571611890618254</x:v>
      </x:c>
      <x:c r="U14" s="14" t="n">
        <x:v>1.1198351856919668</x:v>
      </x:c>
      <x:c r="V14" s="14" t="n">
        <x:v>1.1461719383617195</x:v>
      </x:c>
      <x:c r="W14" s="12" t="n">
        <x:v>7179135.033999779</x:v>
      </x:c>
      <x:c r="X14" s="12" t="n">
        <x:v>28137887.511158146</x:v>
      </x:c>
      <x:c r="Y14" s="12" t="n">
        <x:v>28799646.128407497</x:v>
      </x:c>
      <x:c r="Z14" s="14" t="n">
        <x:v>-0.2278215375430006</x:v>
      </x:c>
      <x:c r="AA14" s="14" t="n">
        <x:v>-0.8668087588575395</x:v>
      </x:c>
      <x:c r="AB14" s="14" t="n">
        <x:v>-0.817705350139939</x:v>
      </x:c>
      <x:c r="AC14" s="12" t="n">
        <x:v>7161039.5281451335</x:v>
      </x:c>
      <x:c r="AD14" s="12" t="n">
        <x:v>5701.46459247224</x:v>
      </x:c>
      <x:c r="AE14" s="12" t="n">
        <x:v>12394.0412621729</x:v>
      </x:c>
      <x:c r="AF14" s="12" t="n">
        <x:v>26709452.831157245</x:v>
      </x:c>
      <x:c r="AG14" s="12" t="n">
        <x:v>1428434.6800009008</x:v>
      </x:c>
      <x:c r="AH14" s="13" t="n">
        <x:v>79756000</x:v>
      </x:c>
      <x:c r="AI14" s="13" t="n">
        <x:v>254000</x:v>
      </x:c>
      <x:c r="AJ14" s="13" t="n">
        <x:v>27607700</x:v>
      </x:c>
      <x:c r="AK14" s="12" t="n">
        <x:v>129959000000</x:v>
      </x:c>
      <x:c r="AL14" s="14" t="n">
        <x:v>0.17565995555046018</x:v>
      </x:c>
      <x:c r="AM14" s="13" t="n">
        <x:v>48</x:v>
      </x:c>
      <x:c r="AN14" s="13" t="n">
        <x:v>49</x:v>
      </x:c>
      <x:c r="AO14" s="14" t="n">
        <x:v>97.95918367346938</x:v>
      </x:c>
      <x:c r="AP14" s="10" t="str">
        <x:v>High</x:v>
      </x:c>
      <x:c r="AQ14" s="10" t="str">
        <x:v>Issuer facility-to-FEMA county match</x:v>
      </x:c>
      <x:c r="AR14" s="14" t="n">
        <x:v>0.17565995555046018</x:v>
      </x:c>
      <x:c r="AS14" s="14" t="n">
        <x:v>7.579869737287252</x:v>
      </x:c>
      <x:c r="AT14" s="14" t="n">
        <x:v>0</x:v>
      </x:c>
      <x:c r="AU14" s="14" t="n">
        <x:v>5.116136979477691</x:v>
      </x:c>
      <x:c r="AV14" s="14" t="n">
        <x:v>2</x:v>
      </x:c>
      <x:c r="AW14" s="10" t="n">
        <x:v>0.5</x:v>
      </x:c>
      <x:c r="AX14" s="10" t="n">
        <x:v>0.7</x:v>
      </x:c>
      <x:c r="AY14" s="10" t="n">
        <x:v>0.25</x:v>
      </x:c>
      <x:c r="AZ14" s="10" t="n">
        <x:v>0.0025</x:v>
      </x:c>
      <x:c r="BA14" s="10" t="n">
        <x:v>0.05</x:v>
      </x:c>
      <x:c r="BB14" s="10" t="n">
        <x:v>0.39</x:v>
      </x:c>
      <x:c r="BC14" s="10" t="n">
        <x:v>0.7</x:v>
      </x:c>
      <x:c r="BD14" s="10" t="n">
        <x:v>0.05</x:v>
      </x:c>
      <x:c r="BE14" s="10" t="n">
        <x:v>0.15</x:v>
      </x:c>
      <x:c r="BF14" s="10" t="n">
        <x:v>1</x:v>
      </x:c>
      <x:c r="BG14" s="10" t="n">
        <x:v>0.35</x:v>
      </x:c>
      <x:c r="BH14" s="10" t="n">
        <x:v>1.6373884833738848</x:v>
      </x:c>
      <x:c r="BI14" s="10" t="str">
        <x:v>Common scenario elasticity + issuer SEC CapEx/CFO dependency scale</x:v>
      </x:c>
      <x:c r="BJ14" s="10" t="str">
        <x:v>Modeled estimate using observed inputs + disclosed assumptions</x:v>
      </x:c>
      <x:c r="BK14" s="11" t="b">
        <x:v>0</x:v>
      </x:c>
      <x:c r="BL14" s="11" t="b">
        <x:v>0</x:v>
      </x:c>
      <x:c r="BM14" s="11" t="b">
        <x:v>0</x:v>
      </x:c>
      <x:c r="BN14" s="10" t="str">
        <x:v>Conditional scenario sensitivity; not a forecast or probability</x:v>
      </x:c>
      <x:c r="BO14" s="14" t="n">
        <x:v>101.94961890380971</x:v>
      </x:c>
    </x:row>
    <x:row r="15" ht="18" customHeight="1">
      <x:c r="A15" s="10" t="str">
        <x:v>DUK</x:v>
      </x:c>
      <x:c r="B15" s="10" t="str">
        <x:v>Utilities</x:v>
      </x:c>
      <x:c r="C15" s="10" t="str">
        <x:v>cp_vs_baseline</x:v>
      </x:c>
      <x:c r="D15" s="10" t="str">
        <x:v>Current Policies vs baseline</x:v>
      </x:c>
      <x:c r="E15" s="10" t="str">
        <x:v>CP vs baseline</x:v>
      </x:c>
      <x:c r="F15" s="10" t="str">
        <x:v>current_policies</x:v>
      </x:c>
      <x:c r="G15" s="10" t="str">
        <x:v>baseline</x:v>
      </x:c>
      <x:c r="H15" s="10" t="n">
        <x:v>2050</x:v>
      </x:c>
      <x:c r="I15" s="10" t="str">
        <x:v>base</x:v>
      </x:c>
      <x:c r="J15" s="11" t="b">
        <x:v>1</x:v>
      </x:c>
      <x:c r="K15" s="10" t="str">
        <x:v>CFP-2026-003-R17-20260804T234500Z</x:v>
      </x:c>
      <x:c r="L1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5" s="14" t="n">
        <x:v>-4.735551081659628</x:v>
      </x:c>
      <x:c r="N15" s="12" t="n">
        <x:v>50132194683.06894</x:v>
      </x:c>
      <x:c r="O15" s="12" t="n">
        <x:v>47758158995.495155</x:v>
      </x:c>
      <x:c r="P15" s="12" t="n">
        <x:v>2512681140.1064544</x:v>
      </x:c>
      <x:c r="Q15" s="12" t="n">
        <x:v>2354100065.7372284</x:v>
      </x:c>
      <x:c r="R15" s="12" t="n">
        <x:v>-158581074.36922598</x:v>
      </x:c>
      <x:c r="S15" s="12" t="n">
        <x:v>1531556722.6890755</x:v>
      </x:c>
      <x:c r="T15" s="14" t="n">
        <x:v>1.2041272761414716</x:v>
      </x:c>
      <x:c r="U15" s="14" t="n">
        <x:v>3.1422360841608263</x:v>
      </x:c>
      <x:c r="V15" s="14" t="n">
        <x:v>1.9648661800486615</x:v>
      </x:c>
      <x:c r="W15" s="12" t="n">
        <x:v>30255878.970484324</x:v>
      </x:c>
      <x:c r="X15" s="12" t="n">
        <x:v>78954373.46432866</x:v>
      </x:c>
      <x:c r="Y15" s="12" t="n">
        <x:v>49370821.93441285</x:v>
      </x:c>
      <x:c r="Z15" s="14" t="n">
        <x:v>-0.8954154088493383</x:v>
      </x:c>
      <x:c r="AA15" s="14" t="n">
        <x:v>-2.4383550725703875</x:v>
      </x:c>
      <x:c r="AB15" s="14" t="n">
        <x:v>-1.4017806002399058</x:v>
      </x:c>
      <x:c r="AC15" s="12" t="n">
        <x:v>30138338.342495404</x:v>
      </x:c>
      <x:c r="AD15" s="12" t="n">
        <x:v>47990.98462180796</x:v>
      </x:c>
      <x:c r="AE15" s="12" t="n">
        <x:v>69549.64336711222</x:v>
      </x:c>
      <x:c r="AF15" s="12" t="n">
        <x:v>74192924.53099233</x:v>
      </x:c>
      <x:c r="AG15" s="12" t="n">
        <x:v>4761448.933336336</x:v>
      </x:c>
      <x:c r="AH15" s="13" t="n">
        <x:v>79756000</x:v>
      </x:c>
      <x:c r="AI15" s="13" t="n">
        <x:v>254000</x:v>
      </x:c>
      <x:c r="AJ15" s="13" t="n">
        <x:v>27607700</x:v>
      </x:c>
      <x:c r="AK15" s="12" t="n">
        <x:v>129959000000</x:v>
      </x:c>
      <x:c r="AL15" s="14" t="n">
        <x:v>0.17565995555046018</x:v>
      </x:c>
      <x:c r="AM15" s="13" t="n">
        <x:v>48</x:v>
      </x:c>
      <x:c r="AN15" s="13" t="n">
        <x:v>49</x:v>
      </x:c>
      <x:c r="AO15" s="14" t="n">
        <x:v>97.95918367346938</x:v>
      </x:c>
      <x:c r="AP15" s="10" t="str">
        <x:v>High</x:v>
      </x:c>
      <x:c r="AQ15" s="10" t="str">
        <x:v>Issuer facility-to-FEMA county match</x:v>
      </x:c>
      <x:c r="AR15" s="14" t="n">
        <x:v>0.17565995555046018</x:v>
      </x:c>
      <x:c r="AS15" s="14" t="n">
        <x:v>7.579869737287252</x:v>
      </x:c>
      <x:c r="AT15" s="14" t="n">
        <x:v>0</x:v>
      </x:c>
      <x:c r="AU15" s="14" t="n">
        <x:v>5.116136979477691</x:v>
      </x:c>
      <x:c r="AV15" s="14" t="n">
        <x:v>2</x:v>
      </x:c>
      <x:c r="AW15" s="10" t="n">
        <x:v>0.75</x:v>
      </x:c>
      <x:c r="AX15" s="10" t="n">
        <x:v>0.5</x:v>
      </x:c>
      <x:c r="AY15" s="10" t="n">
        <x:v>0.5</x:v>
      </x:c>
      <x:c r="AZ15" s="10" t="n">
        <x:v>0.005</x:v>
      </x:c>
      <x:c r="BA15" s="10" t="n">
        <x:v>0.03</x:v>
      </x:c>
      <x:c r="BB15" s="10" t="n">
        <x:v>0.65</x:v>
      </x:c>
      <x:c r="BC15" s="10" t="n">
        <x:v>0.5</x:v>
      </x:c>
      <x:c r="BD15" s="10" t="n">
        <x:v>0.1</x:v>
      </x:c>
      <x:c r="BE15" s="10" t="n">
        <x:v>0.25</x:v>
      </x:c>
      <x:c r="BF15" s="10" t="n">
        <x:v>1</x:v>
      </x:c>
      <x:c r="BG15" s="10" t="n">
        <x:v>0.6</x:v>
      </x:c>
      <x:c r="BH15" s="10" t="n">
        <x:v>1.6373884833738848</x:v>
      </x:c>
      <x:c r="BI15" s="10" t="str">
        <x:v>Common scenario elasticity + issuer SEC CapEx/CFO dependency scale</x:v>
      </x:c>
      <x:c r="BJ15" s="10" t="str">
        <x:v>Modeled estimate using observed inputs + disclosed assumptions</x:v>
      </x:c>
      <x:c r="BK15" s="11" t="b">
        <x:v>0</x:v>
      </x:c>
      <x:c r="BL15" s="11" t="b">
        <x:v>0</x:v>
      </x:c>
      <x:c r="BM15" s="11" t="b">
        <x:v>0</x:v>
      </x:c>
      <x:c r="BN15" s="10" t="str">
        <x:v>Conditional scenario sensitivity; not a forecast or probability</x:v>
      </x:c>
      <x:c r="BO15" s="14" t="n">
        <x:v>104.97095310520181</x:v>
      </x:c>
    </x:row>
    <x:row r="16" ht="18" customHeight="1">
      <x:c r="A16" s="10" t="str">
        <x:v>DUK</x:v>
      </x:c>
      <x:c r="B16" s="10" t="str">
        <x:v>Utilities</x:v>
      </x:c>
      <x:c r="C16" s="10" t="str">
        <x:v>cp_vs_baseline</x:v>
      </x:c>
      <x:c r="D16" s="10" t="str">
        <x:v>Current Policies vs baseline</x:v>
      </x:c>
      <x:c r="E16" s="10" t="str">
        <x:v>CP vs baseline</x:v>
      </x:c>
      <x:c r="F16" s="10" t="str">
        <x:v>current_policies</x:v>
      </x:c>
      <x:c r="G16" s="10" t="str">
        <x:v>baseline</x:v>
      </x:c>
      <x:c r="H16" s="10" t="n">
        <x:v>2050</x:v>
      </x:c>
      <x:c r="I16" s="10" t="str">
        <x:v>high</x:v>
      </x:c>
      <x:c r="J16" s="11" t="b">
        <x:v>1</x:v>
      </x:c>
      <x:c r="K16" s="10" t="str">
        <x:v>CFP-2026-003-R17-20260804T234500Z</x:v>
      </x:c>
      <x:c r="L1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6" s="14" t="n">
        <x:v>-9.818840169030363</x:v>
      </x:c>
      <x:c r="N16" s="12" t="n">
        <x:v>50132194683.06894</x:v>
      </x:c>
      <x:c r="O16" s="12" t="n">
        <x:v>45209794613.91126</x:v>
      </x:c>
      <x:c r="P16" s="12" t="n">
        <x:v>2512681140.1064544</x:v>
      </x:c>
      <x:c r="Q16" s="12" t="n">
        <x:v>2180679862.3662853</x:v>
      </x:c>
      <x:c r="R16" s="12" t="n">
        <x:v>-332001277.74016905</x:v>
      </x:c>
      <x:c r="S16" s="12" t="n">
        <x:v>1531556722.6890755</x:v>
      </x:c>
      <x:c r="T16" s="14" t="n">
        <x:v>3.7511847031216385</x:v>
      </x:c>
      <x:c r="U16" s="14" t="n">
        <x:v>6.187066932960119</x:v>
      </x:c>
      <x:c r="V16" s="14" t="n">
        <x:v>3.2747769667477695</x:v>
      </x:c>
      <x:c r="W16" s="12" t="n">
        <x:v>94255310.5658957</x:v>
      </x:c>
      <x:c r="X16" s="12" t="n">
        <x:v>155461263.95025176</x:v>
      </x:c>
      <x:c r="Y16" s="12" t="n">
        <x:v>82284703.22402142</x:v>
      </x:c>
      <x:c r="Z16" s="14" t="n">
        <x:v>-2.6339017794590855</x:v>
      </x:c>
      <x:c r="AA16" s="14" t="n">
        <x:v>-4.848637389171426</x:v>
      </x:c>
      <x:c r="AB16" s="14" t="n">
        <x:v>-2.33630100039985</x:v>
      </x:c>
      <x:c r="AC16" s="12" t="n">
        <x:v>93707118.75154021</x:v>
      </x:c>
      <x:c r="AD16" s="12" t="n">
        <x:v>223822.7358715133</x:v>
      </x:c>
      <x:c r="AE16" s="12" t="n">
        <x:v>324369.0784839883</x:v>
      </x:c>
      <x:c r="AF16" s="12" t="n">
        <x:v>140224627.3635755</x:v>
      </x:c>
      <x:c r="AG16" s="12" t="n">
        <x:v>15236636.586676275</x:v>
      </x:c>
      <x:c r="AH16" s="13" t="n">
        <x:v>79756000</x:v>
      </x:c>
      <x:c r="AI16" s="13" t="n">
        <x:v>254000</x:v>
      </x:c>
      <x:c r="AJ16" s="13" t="n">
        <x:v>27607700</x:v>
      </x:c>
      <x:c r="AK16" s="12" t="n">
        <x:v>129959000000</x:v>
      </x:c>
      <x:c r="AL16" s="14" t="n">
        <x:v>0.17565995555046018</x:v>
      </x:c>
      <x:c r="AM16" s="13" t="n">
        <x:v>48</x:v>
      </x:c>
      <x:c r="AN16" s="13" t="n">
        <x:v>49</x:v>
      </x:c>
      <x:c r="AO16" s="14" t="n">
        <x:v>97.95918367346938</x:v>
      </x:c>
      <x:c r="AP16" s="10" t="str">
        <x:v>High</x:v>
      </x:c>
      <x:c r="AQ16" s="10" t="str">
        <x:v>Issuer facility-to-FEMA county match</x:v>
      </x:c>
      <x:c r="AR16" s="14" t="n">
        <x:v>0.17565995555046018</x:v>
      </x:c>
      <x:c r="AS16" s="14" t="n">
        <x:v>7.579869737287252</x:v>
      </x:c>
      <x:c r="AT16" s="14" t="n">
        <x:v>0</x:v>
      </x:c>
      <x:c r="AU16" s="14" t="n">
        <x:v>5.116136979477691</x:v>
      </x:c>
      <x:c r="AV16" s="14" t="n">
        <x:v>2</x:v>
      </x:c>
      <x:c r="AW16" s="10" t="n">
        <x:v>1</x:v>
      </x:c>
      <x:c r="AX16" s="10" t="n">
        <x:v>0.3</x:v>
      </x:c>
      <x:c r="AY16" s="10" t="n">
        <x:v>0.75</x:v>
      </x:c>
      <x:c r="AZ16" s="10" t="n">
        <x:v>0.01</x:v>
      </x:c>
      <x:c r="BA16" s="10" t="n">
        <x:v>0.01</x:v>
      </x:c>
      <x:c r="BB16" s="10" t="n">
        <x:v>0.8775000000000001</x:v>
      </x:c>
      <x:c r="BC16" s="10" t="n">
        <x:v>0.3</x:v>
      </x:c>
      <x:c r="BD16" s="10" t="n">
        <x:v>0.2</x:v>
      </x:c>
      <x:c r="BE16" s="10" t="n">
        <x:v>0.4</x:v>
      </x:c>
      <x:c r="BF16" s="10" t="n">
        <x:v>1</x:v>
      </x:c>
      <x:c r="BG16" s="10" t="n">
        <x:v>1</x:v>
      </x:c>
      <x:c r="BH16" s="10" t="n">
        <x:v>1.6373884833738848</x:v>
      </x:c>
      <x:c r="BI16" s="10" t="str">
        <x:v>Common scenario elasticity + issuer SEC CapEx/CFO dependency scale</x:v>
      </x:c>
      <x:c r="BJ16" s="10" t="str">
        <x:v>Modeled estimate using observed inputs + disclosed assumptions</x:v>
      </x:c>
      <x:c r="BK16" s="11" t="b">
        <x:v>0</x:v>
      </x:c>
      <x:c r="BL16" s="11" t="b">
        <x:v>0</x:v>
      </x:c>
      <x:c r="BM16" s="11" t="b">
        <x:v>0</x:v>
      </x:c>
      <x:c r="BN16" s="10" t="str">
        <x:v>Conditional scenario sensitivity; not a forecast or probability</x:v>
      </x:c>
      <x:c r="BO16" s="14" t="n">
        <x:v>110.88790628489835</x:v>
      </x:c>
    </x:row>
    <x:row r="17" ht="18" customHeight="1">
      <x:c r="A17" s="10" t="str">
        <x:v>MSFT</x:v>
      </x:c>
      <x:c r="B17" s="10" t="str">
        <x:v>Technology</x:v>
      </x:c>
      <x:c r="C17" s="10" t="str">
        <x:v>cp_vs_baseline</x:v>
      </x:c>
      <x:c r="D17" s="10" t="str">
        <x:v>Current Policies vs baseline</x:v>
      </x:c>
      <x:c r="E17" s="10" t="str">
        <x:v>CP vs baseline</x:v>
      </x:c>
      <x:c r="F17" s="10" t="str">
        <x:v>current_policies</x:v>
      </x:c>
      <x:c r="G17" s="10" t="str">
        <x:v>baseline</x:v>
      </x:c>
      <x:c r="H17" s="10" t="n">
        <x:v>2050</x:v>
      </x:c>
      <x:c r="I17" s="10" t="str">
        <x:v>low</x:v>
      </x:c>
      <x:c r="J17" s="11" t="b">
        <x:v>1</x:v>
      </x:c>
      <x:c r="K17" s="10" t="str">
        <x:v>CFP-2026-003-R17-20260804T234500Z</x:v>
      </x:c>
      <x:c r="L1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7" s="14" t="n">
        <x:v>-0.398757640423153</x:v>
      </x:c>
      <x:c r="N17" s="12" t="n">
        <x:v>1056700433995.6056</x:v>
      </x:c>
      <x:c r="O17" s="12" t="n">
        <x:v>1052486760278.6635</x:v>
      </x:c>
      <x:c r="P17" s="12" t="n">
        <x:v>136222325961.35968</x:v>
      </x:c>
      <x:c r="Q17" s="12" t="n">
        <x:v>135207501071.45192</x:v>
      </x:c>
      <x:c r="R17" s="12" t="n">
        <x:v>-1014824889.9077606</x:v>
      </x:c>
      <x:c r="S17" s="12" t="n">
        <x:v>73477040696.4498</x:v>
      </x:c>
      <x:c r="T17" s="14" t="n">
        <x:v>0.00003368646392027568</x:v>
      </x:c>
      <x:c r="U17" s="14" t="n">
        <x:v>0.06309073548798379</x:v>
      </x:c>
      <x:c r="V17" s="14" t="n">
        <x:v>0.6818524992288598</x:v>
      </x:c>
      <x:c r="W17" s="12" t="n">
        <x:v>45888.48468633376</x:v>
      </x:c>
      <x:c r="X17" s="12" t="n">
        <x:v>85943667.3478605</x:v>
      </x:c>
      <x:c r="Y17" s="12" t="n">
        <x:v>928835334.0752149</x:v>
      </x:c>
      <x:c r="Z17" s="14" t="n">
        <x:v>-0.000020999356783812594</x:v>
      </x:c>
      <x:c r="AA17" s="14" t="n">
        <x:v>-0.05736418120372742</x:v>
      </x:c>
      <x:c r="AB17" s="14" t="n">
        <x:v>-0.34137245986264597</x:v>
      </x:c>
      <x:c r="AC17" s="12" t="n">
        <x:v>12885.30997898726</x:v>
      </x:c>
      <x:c r="AD17" s="12" t="n">
        <x:v>5815.718351431625</x:v>
      </x:c>
      <x:c r="AE17" s="12" t="n">
        <x:v>27187.45635591487</x:v>
      </x:c>
      <x:c r="AF17" s="12" t="n">
        <x:v>8502605.890556265</x:v>
      </x:c>
      <x:c r="AG17" s="12" t="n">
        <x:v>77441061.45730424</x:v>
      </x:c>
      <x:c r="AH17" s="13" t="n">
        <x:v>143510</x:v>
      </x:c>
      <x:c r="AI17" s="13" t="n">
        <x:v>259090</x:v>
      </x:c>
      <x:c r="AJ17" s="13" t="n">
        <x:v>15140000</x:v>
      </x:c>
      <x:c r="AK17" s="12" t="n">
        <x:v>261126000000</x:v>
      </x:c>
      <x:c r="AL17" s="14" t="n">
        <x:v>0.18089619337783003</x:v>
      </x:c>
      <x:c r="AM17" s="13" t="n">
        <x:v>0</x:v>
      </x:c>
      <x:c r="AN17" s="13" t="n">
        <x:v>0</x:v>
      </x:c>
      <x:c r="AO17" s="14"/>
      <x:c r="AP17" s="10" t="str">
        <x:v>Unverified</x:v>
      </x:c>
      <x:c r="AQ17" s="10" t="str">
        <x:v>Proxy fallback; no issuer facilities in governed match file</x:v>
      </x:c>
      <x:c r="AR17" s="14"/>
      <x:c r="AS17" s="14" t="n">
        <x:v>7.579869737287252</x:v>
      </x:c>
      <x:c r="AT17" s="14" t="n">
        <x:v>0</x:v>
      </x:c>
      <x:c r="AU17" s="14" t="n">
        <x:v>9.627276973766637</x:v>
      </x:c>
      <x:c r="AV17" s="14" t="n">
        <x:v>2.5</x:v>
      </x:c>
      <x:c r="AW17" s="10" t="n">
        <x:v>0.5</x:v>
      </x:c>
      <x:c r="AX17" s="10" t="n">
        <x:v>0.7</x:v>
      </x:c>
      <x:c r="AY17" s="10" t="n">
        <x:v>0.25</x:v>
      </x:c>
      <x:c r="AZ17" s="10" t="n">
        <x:v>0.01</x:v>
      </x:c>
      <x:c r="BA17" s="10" t="n">
        <x:v>0.05</x:v>
      </x:c>
      <x:c r="BB17" s="10" t="n">
        <x:v>0.06</x:v>
      </x:c>
      <x:c r="BC17" s="10" t="n">
        <x:v>0.7</x:v>
      </x:c>
      <x:c r="BD17" s="10" t="n">
        <x:v>0.05</x:v>
      </x:c>
      <x:c r="BE17" s="10" t="n">
        <x:v>0.15</x:v>
      </x:c>
      <x:c r="BF17" s="10" t="n">
        <x:v>1</x:v>
      </x:c>
      <x:c r="BG17" s="10" t="n">
        <x:v>0.35</x:v>
      </x:c>
      <x:c r="BH17" s="10" t="n">
        <x:v>0.974074998898371</x:v>
      </x:c>
      <x:c r="BI17" s="10" t="str">
        <x:v>Common scenario elasticity + issuer SEC CapEx/CFO dependency scale</x:v>
      </x:c>
      <x:c r="BJ17" s="10" t="str">
        <x:v>Modeled estimate using observed inputs + disclosed assumptions</x:v>
      </x:c>
      <x:c r="BK17" s="11" t="b">
        <x:v>0</x:v>
      </x:c>
      <x:c r="BL17" s="11" t="b">
        <x:v>0</x:v>
      </x:c>
      <x:c r="BM17" s="11" t="b">
        <x:v>0</x:v>
      </x:c>
      <x:c r="BN17" s="10" t="str">
        <x:v>Conditional scenario sensitivity; not a forecast or probability</x:v>
      </x:c>
      <x:c r="BO17" s="14" t="n">
        <x:v>100.40035408291754</x:v>
      </x:c>
    </x:row>
    <x:row r="18" ht="18" customHeight="1">
      <x:c r="A18" s="10" t="str">
        <x:v>MSFT</x:v>
      </x:c>
      <x:c r="B18" s="10" t="str">
        <x:v>Technology</x:v>
      </x:c>
      <x:c r="C18" s="10" t="str">
        <x:v>cp_vs_baseline</x:v>
      </x:c>
      <x:c r="D18" s="10" t="str">
        <x:v>Current Policies vs baseline</x:v>
      </x:c>
      <x:c r="E18" s="10" t="str">
        <x:v>CP vs baseline</x:v>
      </x:c>
      <x:c r="F18" s="10" t="str">
        <x:v>current_policies</x:v>
      </x:c>
      <x:c r="G18" s="10" t="str">
        <x:v>baseline</x:v>
      </x:c>
      <x:c r="H18" s="10" t="n">
        <x:v>2050</x:v>
      </x:c>
      <x:c r="I18" s="10" t="str">
        <x:v>base</x:v>
      </x:c>
      <x:c r="J18" s="11" t="b">
        <x:v>1</x:v>
      </x:c>
      <x:c r="K18" s="10" t="str">
        <x:v>CFP-2026-003-R17-20260804T234500Z</x:v>
      </x:c>
      <x:c r="L1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8" s="14" t="n">
        <x:v>-0.7744439350163335</x:v>
      </x:c>
      <x:c r="N18" s="12" t="n">
        <x:v>1056700433995.6056</x:v>
      </x:c>
      <x:c r="O18" s="12" t="n">
        <x:v>1048516881573.2354</x:v>
      </x:c>
      <x:c r="P18" s="12" t="n">
        <x:v>136222325961.35968</x:v>
      </x:c>
      <x:c r="Q18" s="12" t="n">
        <x:v>134348025850.03798</x:v>
      </x:c>
      <x:c r="R18" s="12" t="n">
        <x:v>-1874300111.321701</x:v>
      </x:c>
      <x:c r="S18" s="12" t="n">
        <x:v>73477040696.4498</x:v>
      </x:c>
      <x:c r="T18" s="14" t="n">
        <x:v>0.00018774159860667153</x:v>
      </x:c>
      <x:c r="U18" s="14" t="n">
        <x:v>0.20683483359420743</x:v>
      </x:c>
      <x:c r="V18" s="14" t="n">
        <x:v>1.1688899986780452</x:v>
      </x:c>
      <x:c r="W18" s="12" t="n">
        <x:v>255745.97241904758</x:v>
      </x:c>
      <x:c r="X18" s="12" t="n">
        <x:v>281755221.2203371</x:v>
      </x:c>
      <x:c r="Y18" s="12" t="n">
        <x:v>1592289144.1289396</x:v>
      </x:c>
      <x:c r="Z18" s="14" t="n">
        <x:v>-0.0001019131860669087</x:v>
      </x:c>
      <x:c r="AA18" s="14" t="n">
        <x:v>-0.18913209063713665</x:v>
      </x:c>
      <x:c r="AB18" s="14" t="n">
        <x:v>-0.5852099311931296</x:v>
      </x:c>
      <x:c r="AC18" s="12" t="n">
        <x:v>54229.812622642996</x:v>
      </x:c>
      <x:c r="AD18" s="12" t="n">
        <x:v>48952.693723087505</x:v>
      </x:c>
      <x:c r="AE18" s="12" t="n">
        <x:v>152563.46607331707</x:v>
      </x:c>
      <x:c r="AF18" s="12" t="n">
        <x:v>23618349.695989624</x:v>
      </x:c>
      <x:c r="AG18" s="12" t="n">
        <x:v>258136871.52434748</x:v>
      </x:c>
      <x:c r="AH18" s="13" t="n">
        <x:v>143510</x:v>
      </x:c>
      <x:c r="AI18" s="13" t="n">
        <x:v>259090</x:v>
      </x:c>
      <x:c r="AJ18" s="13" t="n">
        <x:v>15140000</x:v>
      </x:c>
      <x:c r="AK18" s="12" t="n">
        <x:v>261126000000</x:v>
      </x:c>
      <x:c r="AL18" s="14" t="n">
        <x:v>0.18089619337783003</x:v>
      </x:c>
      <x:c r="AM18" s="13" t="n">
        <x:v>0</x:v>
      </x:c>
      <x:c r="AN18" s="13" t="n">
        <x:v>0</x:v>
      </x:c>
      <x:c r="AO18" s="14"/>
      <x:c r="AP18" s="10" t="str">
        <x:v>Unverified</x:v>
      </x:c>
      <x:c r="AQ18" s="10" t="str">
        <x:v>Proxy fallback; no issuer facilities in governed match file</x:v>
      </x:c>
      <x:c r="AR18" s="14"/>
      <x:c r="AS18" s="14" t="n">
        <x:v>7.579869737287252</x:v>
      </x:c>
      <x:c r="AT18" s="14" t="n">
        <x:v>0</x:v>
      </x:c>
      <x:c r="AU18" s="14" t="n">
        <x:v>9.627276973766637</x:v>
      </x:c>
      <x:c r="AV18" s="14" t="n">
        <x:v>2.5</x:v>
      </x:c>
      <x:c r="AW18" s="10" t="n">
        <x:v>0.75</x:v>
      </x:c>
      <x:c r="AX18" s="10" t="n">
        <x:v>0.5</x:v>
      </x:c>
      <x:c r="AY18" s="10" t="n">
        <x:v>0.5</x:v>
      </x:c>
      <x:c r="AZ18" s="10" t="n">
        <x:v>0.02</x:v>
      </x:c>
      <x:c r="BA18" s="10" t="n">
        <x:v>0.03</x:v>
      </x:c>
      <x:c r="BB18" s="10" t="n">
        <x:v>0.1</x:v>
      </x:c>
      <x:c r="BC18" s="10" t="n">
        <x:v>0.5</x:v>
      </x:c>
      <x:c r="BD18" s="10" t="n">
        <x:v>0.1</x:v>
      </x:c>
      <x:c r="BE18" s="10" t="n">
        <x:v>0.25</x:v>
      </x:c>
      <x:c r="BF18" s="10" t="n">
        <x:v>1</x:v>
      </x:c>
      <x:c r="BG18" s="10" t="n">
        <x:v>0.6</x:v>
      </x:c>
      <x:c r="BH18" s="10" t="n">
        <x:v>0.974074998898371</x:v>
      </x:c>
      <x:c r="BI18" s="10" t="str">
        <x:v>Common scenario elasticity + issuer SEC CapEx/CFO dependency scale</x:v>
      </x:c>
      <x:c r="BJ18" s="10" t="str">
        <x:v>Modeled estimate using observed inputs + disclosed assumptions</x:v>
      </x:c>
      <x:c r="BK18" s="11" t="b">
        <x:v>0</x:v>
      </x:c>
      <x:c r="BL18" s="11" t="b">
        <x:v>0</x:v>
      </x:c>
      <x:c r="BM18" s="11" t="b">
        <x:v>0</x:v>
      </x:c>
      <x:c r="BN18" s="10" t="str">
        <x:v>Conditional scenario sensitivity; not a forecast or probability</x:v>
      </x:c>
      <x:c r="BO18" s="14" t="n">
        <x:v>100.78048837993828</x:v>
      </x:c>
    </x:row>
    <x:row r="19" ht="18" customHeight="1">
      <x:c r="A19" s="10" t="str">
        <x:v>MSFT</x:v>
      </x:c>
      <x:c r="B19" s="10" t="str">
        <x:v>Technology</x:v>
      </x:c>
      <x:c r="C19" s="10" t="str">
        <x:v>cp_vs_baseline</x:v>
      </x:c>
      <x:c r="D19" s="10" t="str">
        <x:v>Current Policies vs baseline</x:v>
      </x:c>
      <x:c r="E19" s="10" t="str">
        <x:v>CP vs baseline</x:v>
      </x:c>
      <x:c r="F19" s="10" t="str">
        <x:v>current_policies</x:v>
      </x:c>
      <x:c r="G19" s="10" t="str">
        <x:v>baseline</x:v>
      </x:c>
      <x:c r="H19" s="10" t="n">
        <x:v>2050</x:v>
      </x:c>
      <x:c r="I19" s="10" t="str">
        <x:v>high</x:v>
      </x:c>
      <x:c r="J19" s="11" t="b">
        <x:v>1</x:v>
      </x:c>
      <x:c r="K19" s="10" t="str">
        <x:v>CFP-2026-003-R17-20260804T234500Z</x:v>
      </x:c>
      <x:c r="L1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9" s="14" t="n">
        <x:v>-1.5673284165067858</x:v>
      </x:c>
      <x:c r="N19" s="12" t="n">
        <x:v>1056700433995.6056</x:v>
      </x:c>
      <x:c r="O19" s="12" t="n">
        <x:v>1040138467816.242</x:v>
      </x:c>
      <x:c r="P19" s="12" t="n">
        <x:v>136222325961.35968</x:v>
      </x:c>
      <x:c r="Q19" s="12" t="n">
        <x:v>132696725597.14645</x:v>
      </x:c>
      <x:c r="R19" s="12" t="n">
        <x:v>-3525600364.2132263</x:v>
      </x:c>
      <x:c r="S19" s="12" t="n">
        <x:v>73477040696.4498</x:v>
      </x:c>
      <x:c r="T19" s="14" t="n">
        <x:v>0.0008137096376615691</x:v>
      </x:c>
      <x:c r="U19" s="14" t="n">
        <x:v>0.6391585693892096</x:v>
      </x:c>
      <x:c r="V19" s="14" t="n">
        <x:v>1.9481499977967422</x:v>
      </x:c>
      <x:c r="W19" s="12" t="n">
        <x:v>1108454.1949943416</x:v>
      </x:c>
      <x:c r="X19" s="12" t="n">
        <x:v>870676669.8033323</x:v>
      </x:c>
      <x:c r="Y19" s="12" t="n">
        <x:v>2653815240.2148995</x:v>
      </x:c>
      <x:c r="Z19" s="14" t="n">
        <x:v>-0.0003919370874306703</x:v>
      </x:c>
      <x:c r="AA19" s="14" t="n">
        <x:v>-0.5915865940974809</x:v>
      </x:c>
      <x:c r="AB19" s="14" t="n">
        <x:v>-0.9753498853218732</x:v>
      </x:c>
      <x:c r="AC19" s="12" t="n">
        <x:v>168613.12768987333</x:v>
      </x:c>
      <x:c r="AD19" s="12" t="n">
        <x:v>228308.00250767864</x:v>
      </x:c>
      <x:c r="AE19" s="12" t="n">
        <x:v>711533.0647967897</x:v>
      </x:c>
      <x:c r="AF19" s="12" t="n">
        <x:v>44638680.92542038</x:v>
      </x:c>
      <x:c r="AG19" s="12" t="n">
        <x:v>826037988.8779119</x:v>
      </x:c>
      <x:c r="AH19" s="13" t="n">
        <x:v>143510</x:v>
      </x:c>
      <x:c r="AI19" s="13" t="n">
        <x:v>259090</x:v>
      </x:c>
      <x:c r="AJ19" s="13" t="n">
        <x:v>15140000</x:v>
      </x:c>
      <x:c r="AK19" s="12" t="n">
        <x:v>261126000000</x:v>
      </x:c>
      <x:c r="AL19" s="14" t="n">
        <x:v>0.18089619337783003</x:v>
      </x:c>
      <x:c r="AM19" s="13" t="n">
        <x:v>0</x:v>
      </x:c>
      <x:c r="AN19" s="13" t="n">
        <x:v>0</x:v>
      </x:c>
      <x:c r="AO19" s="14"/>
      <x:c r="AP19" s="10" t="str">
        <x:v>Unverified</x:v>
      </x:c>
      <x:c r="AQ19" s="10" t="str">
        <x:v>Proxy fallback; no issuer facilities in governed match file</x:v>
      </x:c>
      <x:c r="AR19" s="14"/>
      <x:c r="AS19" s="14" t="n">
        <x:v>7.579869737287252</x:v>
      </x:c>
      <x:c r="AT19" s="14" t="n">
        <x:v>0</x:v>
      </x:c>
      <x:c r="AU19" s="14" t="n">
        <x:v>9.627276973766637</x:v>
      </x:c>
      <x:c r="AV19" s="14" t="n">
        <x:v>2.5</x:v>
      </x:c>
      <x:c r="AW19" s="10" t="n">
        <x:v>1</x:v>
      </x:c>
      <x:c r="AX19" s="10" t="n">
        <x:v>0.3</x:v>
      </x:c>
      <x:c r="AY19" s="10" t="n">
        <x:v>0.75</x:v>
      </x:c>
      <x:c r="AZ19" s="10" t="n">
        <x:v>0.04</x:v>
      </x:c>
      <x:c r="BA19" s="10" t="n">
        <x:v>0.01</x:v>
      </x:c>
      <x:c r="BB19" s="10" t="n">
        <x:v>0.135</x:v>
      </x:c>
      <x:c r="BC19" s="10" t="n">
        <x:v>0.3</x:v>
      </x:c>
      <x:c r="BD19" s="10" t="n">
        <x:v>0.2</x:v>
      </x:c>
      <x:c r="BE19" s="10" t="n">
        <x:v>0.4</x:v>
      </x:c>
      <x:c r="BF19" s="10" t="n">
        <x:v>1</x:v>
      </x:c>
      <x:c r="BG19" s="10" t="n">
        <x:v>1</x:v>
      </x:c>
      <x:c r="BH19" s="10" t="n">
        <x:v>0.974074998898371</x:v>
      </x:c>
      <x:c r="BI19" s="10" t="str">
        <x:v>Common scenario elasticity + issuer SEC CapEx/CFO dependency scale</x:v>
      </x:c>
      <x:c r="BJ19" s="10" t="str">
        <x:v>Modeled estimate using observed inputs + disclosed assumptions</x:v>
      </x:c>
      <x:c r="BK19" s="11" t="b">
        <x:v>0</x:v>
      </x:c>
      <x:c r="BL19" s="11" t="b">
        <x:v>0</x:v>
      </x:c>
      <x:c r="BM19" s="11" t="b">
        <x:v>0</x:v>
      </x:c>
      <x:c r="BN19" s="10" t="str">
        <x:v>Conditional scenario sensitivity; not a forecast or probability</x:v>
      </x:c>
      <x:c r="BO19" s="14" t="n">
        <x:v>101.59228474783124</x:v>
      </x:c>
    </x:row>
    <x:row r="20" ht="18" customHeight="1">
      <x:c r="A20" s="10" t="str">
        <x:v>NEE</x:v>
      </x:c>
      <x:c r="B20" s="10" t="str">
        <x:v>Utilities</x:v>
      </x:c>
      <x:c r="C20" s="10" t="str">
        <x:v>cp_vs_baseline</x:v>
      </x:c>
      <x:c r="D20" s="10" t="str">
        <x:v>Current Policies vs baseline</x:v>
      </x:c>
      <x:c r="E20" s="10" t="str">
        <x:v>CP vs baseline</x:v>
      </x:c>
      <x:c r="F20" s="10" t="str">
        <x:v>current_policies</x:v>
      </x:c>
      <x:c r="G20" s="10" t="str">
        <x:v>baseline</x:v>
      </x:c>
      <x:c r="H20" s="10" t="n">
        <x:v>2050</x:v>
      </x:c>
      <x:c r="I20" s="10" t="str">
        <x:v>low</x:v>
      </x:c>
      <x:c r="J20" s="11" t="b">
        <x:v>1</x:v>
      </x:c>
      <x:c r="K20" s="10" t="str">
        <x:v>CFP-2026-003-R17-20260804T234500Z</x:v>
      </x:c>
      <x:c r="L2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0" s="14" t="n">
        <x:v>-1.1078890675151554</x:v>
      </x:c>
      <x:c r="N20" s="12" t="n">
        <x:v>207787213356.48944</x:v>
      </x:c>
      <x:c r="O20" s="12" t="n">
        <x:v>205485161536.0185</x:v>
      </x:c>
      <x:c r="P20" s="12" t="n">
        <x:v>16208268485.95464</x:v>
      </x:c>
      <x:c r="Q20" s="12" t="n">
        <x:v>15922536116.732552</x:v>
      </x:c>
      <x:c r="R20" s="12" t="n">
        <x:v>-285732369.22208786</x:v>
      </x:c>
      <x:c r="S20" s="12" t="n">
        <x:v>9879440000</x:v>
      </x:c>
      <x:c r="T20" s="14" t="n">
        <x:v>0.024050955075525963</x:v>
      </x:c>
      <x:c r="U20" s="14" t="n">
        <x:v>0.33882932710692976</x:v>
      </x:c>
      <x:c r="V20" s="14" t="n">
        <x:v>1.4</x:v>
      </x:c>
      <x:c r="W20" s="12" t="n">
        <x:v>3898243.3720775824</x:v>
      </x:c>
      <x:c r="X20" s="12" t="n">
        <x:v>54918367.04664466</x:v>
      </x:c>
      <x:c r="Y20" s="12" t="n">
        <x:v>226915758.80336493</x:v>
      </x:c>
      <x:c r="Z20" s="14" t="n">
        <x:v>-0.01694812608438643</x:v>
      </x:c>
      <x:c r="AA20" s="14" t="n">
        <x:v>-0.24342921060352066</x:v>
      </x:c>
      <x:c r="AB20" s="14" t="n">
        <x:v>-0.8475117308272532</x:v>
      </x:c>
      <x:c r="AC20" s="12" t="n">
        <x:v>3897639.388121827</x:v>
      </x:c>
      <x:c r="AD20" s="12" t="n">
        <x:v>574.7031415790029</x:v>
      </x:c>
      <x:c r="AE20" s="12" t="n">
        <x:v>29.280814176502933</x:v>
      </x:c>
      <x:c r="AF20" s="12" t="n">
        <x:v>45704124.76235609</x:v>
      </x:c>
      <x:c r="AG20" s="12" t="n">
        <x:v>9214242.284288568</x:v>
      </x:c>
      <x:c r="AH20" s="13" t="n">
        <x:v>43409916.37</x:v>
      </x:c>
      <x:c r="AI20" s="13" t="n">
        <x:v>25603</x:v>
      </x:c>
      <x:c r="AJ20" s="13" t="n">
        <x:v>65222.95</x:v>
      </x:c>
      <x:c r="AK20" s="12" t="n">
        <x:v>156197000000</x:v>
      </x:c>
      <x:c r="AL20" s="14" t="n">
        <x:v>0.25009029941509914</x:v>
      </x:c>
      <x:c r="AM20" s="13" t="n">
        <x:v>23</x:v>
      </x:c>
      <x:c r="AN20" s="13" t="n">
        <x:v>27</x:v>
      </x:c>
      <x:c r="AO20" s="14" t="n">
        <x:v>85.18518518518519</x:v>
      </x:c>
      <x:c r="AP20" s="10" t="str">
        <x:v>High</x:v>
      </x:c>
      <x:c r="AQ20" s="10" t="str">
        <x:v>Issuer facility-to-FEMA county match</x:v>
      </x:c>
      <x:c r="AR20" s="14" t="n">
        <x:v>0.25009029941509914</x:v>
      </x:c>
      <x:c r="AS20" s="14" t="n">
        <x:v>7.579869737287252</x:v>
      </x:c>
      <x:c r="AT20" s="14" t="n">
        <x:v>0</x:v>
      </x:c>
      <x:c r="AU20" s="14" t="n">
        <x:v>6.849686675720218</x:v>
      </x:c>
      <x:c r="AV20" s="14" t="n">
        <x:v>2</x:v>
      </x:c>
      <x:c r="AW20" s="10" t="n">
        <x:v>0.5</x:v>
      </x:c>
      <x:c r="AX20" s="10" t="n">
        <x:v>0.7</x:v>
      </x:c>
      <x:c r="AY20" s="10" t="n">
        <x:v>0.25</x:v>
      </x:c>
      <x:c r="AZ20" s="10" t="n">
        <x:v>0.0025</x:v>
      </x:c>
      <x:c r="BA20" s="10" t="n">
        <x:v>0.05</x:v>
      </x:c>
      <x:c r="BB20" s="10" t="n">
        <x:v>0.39</x:v>
      </x:c>
      <x:c r="BC20" s="10" t="n">
        <x:v>0.7</x:v>
      </x:c>
      <x:c r="BD20" s="10" t="n">
        <x:v>0.05</x:v>
      </x:c>
      <x:c r="BE20" s="10" t="n">
        <x:v>0.15</x:v>
      </x:c>
      <x:c r="BF20" s="10" t="n">
        <x:v>1</x:v>
      </x:c>
      <x:c r="BG20" s="10" t="n">
        <x:v>0.35</x:v>
      </x:c>
      <x:c r="BH20" s="10" t="n">
        <x:v>2</x:v>
      </x:c>
      <x:c r="BI20" s="10" t="str">
        <x:v>Common scenario elasticity + issuer SEC CapEx/CFO dependency scale</x:v>
      </x:c>
      <x:c r="BJ20" s="10" t="str">
        <x:v>Modeled estimate using observed inputs + disclosed assumptions</x:v>
      </x:c>
      <x:c r="BK20" s="11" t="b">
        <x:v>0</x:v>
      </x:c>
      <x:c r="BL20" s="11" t="b">
        <x:v>0</x:v>
      </x:c>
      <x:c r="BM20" s="11" t="b">
        <x:v>0</x:v>
      </x:c>
      <x:c r="BN20" s="10" t="str">
        <x:v>Conditional scenario sensitivity; not a forecast or probability</x:v>
      </x:c>
      <x:c r="BO20" s="14" t="n">
        <x:v>101.12030075712666</x:v>
      </x:c>
    </x:row>
    <x:row r="21" ht="18" customHeight="1">
      <x:c r="A21" s="10" t="str">
        <x:v>NEE</x:v>
      </x:c>
      <x:c r="B21" s="10" t="str">
        <x:v>Utilities</x:v>
      </x:c>
      <x:c r="C21" s="10" t="str">
        <x:v>cp_vs_baseline</x:v>
      </x:c>
      <x:c r="D21" s="10" t="str">
        <x:v>Current Policies vs baseline</x:v>
      </x:c>
      <x:c r="E21" s="10" t="str">
        <x:v>CP vs baseline</x:v>
      </x:c>
      <x:c r="F21" s="10" t="str">
        <x:v>current_policies</x:v>
      </x:c>
      <x:c r="G21" s="10" t="str">
        <x:v>baseline</x:v>
      </x:c>
      <x:c r="H21" s="10" t="n">
        <x:v>2050</x:v>
      </x:c>
      <x:c r="I21" s="10" t="str">
        <x:v>base</x:v>
      </x:c>
      <x:c r="J21" s="11" t="b">
        <x:v>1</x:v>
      </x:c>
      <x:c r="K21" s="10" t="str">
        <x:v>CFP-2026-003-R17-20260804T234500Z</x:v>
      </x:c>
      <x:c r="L2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1" s="14" t="n">
        <x:v>-2.2237366704251804</x:v>
      </x:c>
      <x:c r="N21" s="12" t="n">
        <x:v>207787213356.48944</x:v>
      </x:c>
      <x:c r="O21" s="12" t="n">
        <x:v>203166572896.6266</x:v>
      </x:c>
      <x:c r="P21" s="12" t="n">
        <x:v>16208268485.95464</x:v>
      </x:c>
      <x:c r="Q21" s="12" t="n">
        <x:v>15645191181.486599</x:v>
      </x:c>
      <x:c r="R21" s="12" t="n">
        <x:v>-563077304.4680405</x:v>
      </x:c>
      <x:c r="S21" s="12" t="n">
        <x:v>9879440000</x:v>
      </x:c>
      <x:c r="T21" s="14" t="n">
        <x:v>0.10123732682527649</x:v>
      </x:c>
      <x:c r="U21" s="14" t="n">
        <x:v>0.9727753658690571</x:v>
      </x:c>
      <x:c r="V21" s="14" t="n">
        <x:v>2.4</x:v>
      </x:c>
      <x:c r="W21" s="12" t="n">
        <x:v>16408817.73984419</x:v>
      </x:c>
      <x:c r="X21" s="12" t="n">
        <x:v>157670043.06528434</x:v>
      </x:c>
      <x:c r="Y21" s="12" t="n">
        <x:v>388998443.66291136</x:v>
      </x:c>
      <x:c r="Z21" s="14" t="n">
        <x:v>-0.06450294060377629</x:v>
      </x:c>
      <x:c r="AA21" s="14" t="n">
        <x:v>-0.7063564769746915</x:v>
      </x:c>
      <x:c r="AB21" s="14" t="n">
        <x:v>-1.4528772528467075</x:v>
      </x:c>
      <x:c r="AC21" s="12" t="n">
        <x:v>16403815.975957794</x:v>
      </x:c>
      <x:c r="AD21" s="12" t="n">
        <x:v>4837.453461701376</x:v>
      </x:c>
      <x:c r="AE21" s="12" t="n">
        <x:v>164.310424694958</x:v>
      </x:c>
      <x:c r="AF21" s="12" t="n">
        <x:v>126955902.11765577</x:v>
      </x:c>
      <x:c r="AG21" s="12" t="n">
        <x:v>30714140.94762856</x:v>
      </x:c>
      <x:c r="AH21" s="13" t="n">
        <x:v>43409916.37</x:v>
      </x:c>
      <x:c r="AI21" s="13" t="n">
        <x:v>25603</x:v>
      </x:c>
      <x:c r="AJ21" s="13" t="n">
        <x:v>65222.95</x:v>
      </x:c>
      <x:c r="AK21" s="12" t="n">
        <x:v>156197000000</x:v>
      </x:c>
      <x:c r="AL21" s="14" t="n">
        <x:v>0.25009029941509914</x:v>
      </x:c>
      <x:c r="AM21" s="13" t="n">
        <x:v>23</x:v>
      </x:c>
      <x:c r="AN21" s="13" t="n">
        <x:v>27</x:v>
      </x:c>
      <x:c r="AO21" s="14" t="n">
        <x:v>85.18518518518519</x:v>
      </x:c>
      <x:c r="AP21" s="10" t="str">
        <x:v>High</x:v>
      </x:c>
      <x:c r="AQ21" s="10" t="str">
        <x:v>Issuer facility-to-FEMA county match</x:v>
      </x:c>
      <x:c r="AR21" s="14" t="n">
        <x:v>0.25009029941509914</x:v>
      </x:c>
      <x:c r="AS21" s="14" t="n">
        <x:v>7.579869737287252</x:v>
      </x:c>
      <x:c r="AT21" s="14" t="n">
        <x:v>0</x:v>
      </x:c>
      <x:c r="AU21" s="14" t="n">
        <x:v>6.849686675720218</x:v>
      </x:c>
      <x:c r="AV21" s="14" t="n">
        <x:v>2</x:v>
      </x:c>
      <x:c r="AW21" s="10" t="n">
        <x:v>0.75</x:v>
      </x:c>
      <x:c r="AX21" s="10" t="n">
        <x:v>0.5</x:v>
      </x:c>
      <x:c r="AY21" s="10" t="n">
        <x:v>0.5</x:v>
      </x:c>
      <x:c r="AZ21" s="10" t="n">
        <x:v>0.005</x:v>
      </x:c>
      <x:c r="BA21" s="10" t="n">
        <x:v>0.03</x:v>
      </x:c>
      <x:c r="BB21" s="10" t="n">
        <x:v>0.65</x:v>
      </x:c>
      <x:c r="BC21" s="10" t="n">
        <x:v>0.5</x:v>
      </x:c>
      <x:c r="BD21" s="10" t="n">
        <x:v>0.1</x:v>
      </x:c>
      <x:c r="BE21" s="10" t="n">
        <x:v>0.25</x:v>
      </x:c>
      <x:c r="BF21" s="10" t="n">
        <x:v>1</x:v>
      </x:c>
      <x:c r="BG21" s="10" t="n">
        <x:v>0.6</x:v>
      </x:c>
      <x:c r="BH21" s="10" t="n">
        <x:v>2</x:v>
      </x:c>
      <x:c r="BI21" s="10" t="str">
        <x:v>Common scenario elasticity + issuer SEC CapEx/CFO dependency scale</x:v>
      </x:c>
      <x:c r="BJ21" s="10" t="str">
        <x:v>Modeled estimate using observed inputs + disclosed assumptions</x:v>
      </x:c>
      <x:c r="BK21" s="11" t="b">
        <x:v>0</x:v>
      </x:c>
      <x:c r="BL21" s="11" t="b">
        <x:v>0</x:v>
      </x:c>
      <x:c r="BM21" s="11" t="b">
        <x:v>0</x:v>
      </x:c>
      <x:c r="BN21" s="10" t="str">
        <x:v>Conditional scenario sensitivity; not a forecast or probability</x:v>
      </x:c>
      <x:c r="BO21" s="14" t="n">
        <x:v>102.27431136627672</x:v>
      </x:c>
    </x:row>
    <x:row r="22" ht="18" customHeight="1">
      <x:c r="A22" s="10" t="str">
        <x:v>NEE</x:v>
      </x:c>
      <x:c r="B22" s="10" t="str">
        <x:v>Utilities</x:v>
      </x:c>
      <x:c r="C22" s="10" t="str">
        <x:v>cp_vs_baseline</x:v>
      </x:c>
      <x:c r="D22" s="10" t="str">
        <x:v>Current Policies vs baseline</x:v>
      </x:c>
      <x:c r="E22" s="10" t="str">
        <x:v>CP vs baseline</x:v>
      </x:c>
      <x:c r="F22" s="10" t="str">
        <x:v>current_policies</x:v>
      </x:c>
      <x:c r="G22" s="10" t="str">
        <x:v>baseline</x:v>
      </x:c>
      <x:c r="H22" s="10" t="n">
        <x:v>2050</x:v>
      </x:c>
      <x:c r="I22" s="10" t="str">
        <x:v>high</x:v>
      </x:c>
      <x:c r="J22" s="11" t="b">
        <x:v>1</x:v>
      </x:c>
      <x:c r="K22" s="10" t="str">
        <x:v>CFP-2026-003-R17-20260804T234500Z</x:v>
      </x:c>
      <x:c r="L2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2" s="14" t="n">
        <x:v>-4.177851074255045</x:v>
      </x:c>
      <x:c r="N22" s="12" t="n">
        <x:v>207787213356.48944</x:v>
      </x:c>
      <x:c r="O22" s="12" t="n">
        <x:v>199106173031.11072</x:v>
      </x:c>
      <x:c r="P22" s="12" t="n">
        <x:v>16208268485.95464</x:v>
      </x:c>
      <x:c r="Q22" s="12" t="n">
        <x:v>15170679225.627037</x:v>
      </x:c>
      <x:c r="R22" s="12" t="n">
        <x:v>-1037589260.3276024</x:v>
      </x:c>
      <x:c r="S22" s="12" t="n">
        <x:v>9879440000</x:v>
      </x:c>
      <x:c r="T22" s="14" t="n">
        <x:v>0.3148184206033634</x:v>
      </x:c>
      <x:c r="U22" s="14" t="n">
        <x:v>2.0867861753886756</x:v>
      </x:c>
      <x:c r="V22" s="14" t="n">
        <x:v>4</x:v>
      </x:c>
      <x:c r="W22" s="12" t="n">
        <x:v>51026614.85463508</x:v>
      </x:c>
      <x:c r="X22" s="12" t="n">
        <x:v>338231906.0347808</x:v>
      </x:c>
      <x:c r="Y22" s="12" t="n">
        <x:v>648330739.4381856</x:v>
      </x:c>
      <x:c r="Z22" s="14" t="n">
        <x:v>-0.18428443385104806</x:v>
      </x:c>
      <x:c r="AA22" s="14" t="n">
        <x:v>-1.5721045523261472</x:v>
      </x:c>
      <x:c r="AB22" s="14" t="n">
        <x:v>-2.4214620880778526</x:v>
      </x:c>
      <x:c r="AC22" s="12" t="n">
        <x:v>51003287.37998419</x:v>
      </x:c>
      <x:c r="AD22" s="12" t="n">
        <x:v>22561.15553747384</x:v>
      </x:c>
      <x:c r="AE22" s="12" t="n">
        <x:v>766.3191134178959</x:v>
      </x:c>
      <x:c r="AF22" s="12" t="n">
        <x:v>239946655.0023694</x:v>
      </x:c>
      <x:c r="AG22" s="12" t="n">
        <x:v>98285251.03241141</x:v>
      </x:c>
      <x:c r="AH22" s="13" t="n">
        <x:v>43409916.37</x:v>
      </x:c>
      <x:c r="AI22" s="13" t="n">
        <x:v>25603</x:v>
      </x:c>
      <x:c r="AJ22" s="13" t="n">
        <x:v>65222.95</x:v>
      </x:c>
      <x:c r="AK22" s="12" t="n">
        <x:v>156197000000</x:v>
      </x:c>
      <x:c r="AL22" s="14" t="n">
        <x:v>0.25009029941509914</x:v>
      </x:c>
      <x:c r="AM22" s="13" t="n">
        <x:v>23</x:v>
      </x:c>
      <x:c r="AN22" s="13" t="n">
        <x:v>27</x:v>
      </x:c>
      <x:c r="AO22" s="14" t="n">
        <x:v>85.18518518518519</x:v>
      </x:c>
      <x:c r="AP22" s="10" t="str">
        <x:v>High</x:v>
      </x:c>
      <x:c r="AQ22" s="10" t="str">
        <x:v>Issuer facility-to-FEMA county match</x:v>
      </x:c>
      <x:c r="AR22" s="14" t="n">
        <x:v>0.25009029941509914</x:v>
      </x:c>
      <x:c r="AS22" s="14" t="n">
        <x:v>7.579869737287252</x:v>
      </x:c>
      <x:c r="AT22" s="14" t="n">
        <x:v>0</x:v>
      </x:c>
      <x:c r="AU22" s="14" t="n">
        <x:v>6.849686675720218</x:v>
      </x:c>
      <x:c r="AV22" s="14" t="n">
        <x:v>2</x:v>
      </x:c>
      <x:c r="AW22" s="10" t="n">
        <x:v>1</x:v>
      </x:c>
      <x:c r="AX22" s="10" t="n">
        <x:v>0.3</x:v>
      </x:c>
      <x:c r="AY22" s="10" t="n">
        <x:v>0.75</x:v>
      </x:c>
      <x:c r="AZ22" s="10" t="n">
        <x:v>0.01</x:v>
      </x:c>
      <x:c r="BA22" s="10" t="n">
        <x:v>0.01</x:v>
      </x:c>
      <x:c r="BB22" s="10" t="n">
        <x:v>0.8775000000000001</x:v>
      </x:c>
      <x:c r="BC22" s="10" t="n">
        <x:v>0.3</x:v>
      </x:c>
      <x:c r="BD22" s="10" t="n">
        <x:v>0.2</x:v>
      </x:c>
      <x:c r="BE22" s="10" t="n">
        <x:v>0.4</x:v>
      </x:c>
      <x:c r="BF22" s="10" t="n">
        <x:v>1</x:v>
      </x:c>
      <x:c r="BG22" s="10" t="n">
        <x:v>1</x:v>
      </x:c>
      <x:c r="BH22" s="10" t="n">
        <x:v>2</x:v>
      </x:c>
      <x:c r="BI22" s="10" t="str">
        <x:v>Common scenario elasticity + issuer SEC CapEx/CFO dependency scale</x:v>
      </x:c>
      <x:c r="BJ22" s="10" t="str">
        <x:v>Modeled estimate using observed inputs + disclosed assumptions</x:v>
      </x:c>
      <x:c r="BK22" s="11" t="b">
        <x:v>0</x:v>
      </x:c>
      <x:c r="BL22" s="11" t="b">
        <x:v>0</x:v>
      </x:c>
      <x:c r="BM22" s="11" t="b">
        <x:v>0</x:v>
      </x:c>
      <x:c r="BN22" s="10" t="str">
        <x:v>Conditional scenario sensitivity; not a forecast or probability</x:v>
      </x:c>
      <x:c r="BO22" s="14" t="n">
        <x:v>104.3600056157085</x:v>
      </x:c>
    </x:row>
    <x:row r="23" ht="18" customHeight="1">
      <x:c r="A23" s="10" t="str">
        <x:v>XOM</x:v>
      </x:c>
      <x:c r="B23" s="10" t="str">
        <x:v>Energy</x:v>
      </x:c>
      <x:c r="C23" s="10" t="str">
        <x:v>cp_vs_baseline</x:v>
      </x:c>
      <x:c r="D23" s="10" t="str">
        <x:v>Current Policies vs baseline</x:v>
      </x:c>
      <x:c r="E23" s="10" t="str">
        <x:v>CP vs baseline</x:v>
      </x:c>
      <x:c r="F23" s="10" t="str">
        <x:v>current_policies</x:v>
      </x:c>
      <x:c r="G23" s="10" t="str">
        <x:v>baseline</x:v>
      </x:c>
      <x:c r="H23" s="10" t="n">
        <x:v>2050</x:v>
      </x:c>
      <x:c r="I23" s="10" t="str">
        <x:v>low</x:v>
      </x:c>
      <x:c r="J23" s="11" t="b">
        <x:v>1</x:v>
      </x:c>
      <x:c r="K23" s="10" t="str">
        <x:v>CFP-2026-003-R17-20260804T234500Z</x:v>
      </x:c>
      <x:c r="L2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3" s="14" t="n">
        <x:v>-0.6586481433858538</x:v>
      </x:c>
      <x:c r="N23" s="12" t="n">
        <x:v>676608329467.1913</x:v>
      </x:c>
      <x:c r="O23" s="12" t="n">
        <x:v>672151861267.1616</x:v>
      </x:c>
      <x:c r="P23" s="12" t="n">
        <x:v>37562427566.9594</x:v>
      </x:c>
      <x:c r="Q23" s="12" t="n">
        <x:v>37211330440.244995</x:v>
      </x:c>
      <x:c r="R23" s="12" t="n">
        <x:v>-351097126.71440125</x:v>
      </x:c>
      <x:c r="S23" s="12" t="n">
        <x:v>24046905786.56586</x:v>
      </x:c>
      <x:c r="T23" s="14" t="n">
        <x:v>0.025729582754846957</x:v>
      </x:c>
      <x:c r="U23" s="14" t="n">
        <x:v>0.17701071818252448</x:v>
      </x:c>
      <x:c r="V23" s="14" t="n">
        <x:v>0.7319626707715989</x:v>
      </x:c>
      <x:c r="W23" s="12" t="n">
        <x:v>9664655.885570265</x:v>
      </x:c>
      <x:c r="X23" s="12" t="n">
        <x:v>66489522.80306539</x:v>
      </x:c>
      <x:c r="Y23" s="12" t="n">
        <x:v>274942948.02576333</x:v>
      </x:c>
      <x:c r="Z23" s="14" t="n">
        <x:v>-0.019622072047940888</x:v>
      </x:c>
      <x:c r="AA23" s="14" t="n">
        <x:v>-0.14223959751726106</x:v>
      </x:c>
      <x:c r="AB23" s="14" t="n">
        <x:v>-0.4967864738206469</x:v>
      </x:c>
      <x:c r="AC23" s="12" t="n">
        <x:v>9337831.77349784</x:v>
      </x:c>
      <x:c r="AD23" s="12" t="n">
        <x:v>157126.97695789638</x:v>
      </x:c>
      <x:c r="AE23" s="12" t="n">
        <x:v>169697.13511452806</x:v>
      </x:c>
      <x:c r="AF23" s="12" t="n">
        <x:v>45135649.705027394</x:v>
      </x:c>
      <x:c r="AG23" s="12" t="n">
        <x:v>21353873.098038</x:v>
      </x:c>
      <x:c r="AH23" s="13" t="n">
        <x:v>104000000</x:v>
      </x:c>
      <x:c r="AI23" s="13" t="n">
        <x:v>7000000</x:v>
      </x:c>
      <x:c r="AJ23" s="13" t="n">
        <x:v>630000000</x:v>
      </x:c>
      <x:c r="AK23" s="12" t="n">
        <x:v>299373000000</x:v>
      </x:c>
      <x:c r="AL23" s="14" t="n">
        <x:v>0.18613243120519987</x:v>
      </x:c>
      <x:c r="AM23" s="13" t="n">
        <x:v>49</x:v>
      </x:c>
      <x:c r="AN23" s="13" t="n">
        <x:v>68</x:v>
      </x:c>
      <x:c r="AO23" s="14" t="n">
        <x:v>72.05882352941177</x:v>
      </x:c>
      <x:c r="AP23" s="10" t="str">
        <x:v>Medium</x:v>
      </x:c>
      <x:c r="AQ23" s="10" t="str">
        <x:v>Issuer facility-to-FEMA county match</x:v>
      </x:c>
      <x:c r="AR23" s="14" t="n">
        <x:v>0.18613243120519987</x:v>
      </x:c>
      <x:c r="AS23" s="14" t="n">
        <x:v>7.579869737287252</x:v>
      </x:c>
      <x:c r="AT23" s="14" t="n">
        <x:v>0</x:v>
      </x:c>
      <x:c r="AU23" s="14" t="n">
        <x:v>5.418008975739499</x:v>
      </x:c>
      <x:c r="AV23" s="14" t="n">
        <x:v>1.7999999999999998</x:v>
      </x:c>
      <x:c r="AW23" s="10" t="n">
        <x:v>0.5</x:v>
      </x:c>
      <x:c r="AX23" s="10" t="n">
        <x:v>0.7</x:v>
      </x:c>
      <x:c r="AY23" s="10" t="n">
        <x:v>0.25</x:v>
      </x:c>
      <x:c r="AZ23" s="10" t="n">
        <x:v>0.0015</x:v>
      </x:c>
      <x:c r="BA23" s="10" t="n">
        <x:v>0.05</x:v>
      </x:c>
      <x:c r="BB23" s="10" t="n">
        <x:v>0.27</x:v>
      </x:c>
      <x:c r="BC23" s="10" t="n">
        <x:v>0.7</x:v>
      </x:c>
      <x:c r="BD23" s="10" t="n">
        <x:v>0.05</x:v>
      </x:c>
      <x:c r="BE23" s="10" t="n">
        <x:v>0.15</x:v>
      </x:c>
      <x:c r="BF23" s="10" t="n">
        <x:v>1</x:v>
      </x:c>
      <x:c r="BG23" s="10" t="n">
        <x:v>0.35</x:v>
      </x:c>
      <x:c r="BH23" s="10" t="n">
        <x:v>1.0456609582451413</x:v>
      </x:c>
      <x:c r="BI23" s="10" t="str">
        <x:v>Common scenario elasticity + issuer SEC CapEx/CFO dependency scale</x:v>
      </x:c>
      <x:c r="BJ23" s="10" t="str">
        <x:v>Modeled estimate using observed inputs + disclosed assumptions</x:v>
      </x:c>
      <x:c r="BK23" s="11" t="b">
        <x:v>0</x:v>
      </x:c>
      <x:c r="BL23" s="11" t="b">
        <x:v>0</x:v>
      </x:c>
      <x:c r="BM23" s="11" t="b">
        <x:v>0</x:v>
      </x:c>
      <x:c r="BN23" s="10" t="str">
        <x:v>Conditional scenario sensitivity; not a forecast or probability</x:v>
      </x:c>
      <x:c r="BO23" s="14" t="n">
        <x:v>100.66301507989999</x:v>
      </x:c>
    </x:row>
    <x:row r="24" ht="18" customHeight="1">
      <x:c r="A24" s="10" t="str">
        <x:v>XOM</x:v>
      </x:c>
      <x:c r="B24" s="10" t="str">
        <x:v>Energy</x:v>
      </x:c>
      <x:c r="C24" s="10" t="str">
        <x:v>cp_vs_baseline</x:v>
      </x:c>
      <x:c r="D24" s="10" t="str">
        <x:v>Current Policies vs baseline</x:v>
      </x:c>
      <x:c r="E24" s="10" t="str">
        <x:v>CP vs baseline</x:v>
      </x:c>
      <x:c r="F24" s="10" t="str">
        <x:v>current_policies</x:v>
      </x:c>
      <x:c r="G24" s="10" t="str">
        <x:v>baseline</x:v>
      </x:c>
      <x:c r="H24" s="10" t="n">
        <x:v>2050</x:v>
      </x:c>
      <x:c r="I24" s="10" t="str">
        <x:v>base</x:v>
      </x:c>
      <x:c r="J24" s="11" t="b">
        <x:v>1</x:v>
      </x:c>
      <x:c r="K24" s="10" t="str">
        <x:v>CFP-2026-003-R17-20260804T234500Z</x:v>
      </x:c>
      <x:c r="L2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4" s="14" t="n">
        <x:v>-1.3552362351022418</x:v>
      </x:c>
      <x:c r="N24" s="12" t="n">
        <x:v>676608329467.1913</x:v>
      </x:c>
      <x:c r="O24" s="12" t="n">
        <x:v>667438688216.532</x:v>
      </x:c>
      <x:c r="P24" s="12" t="n">
        <x:v>37562427566.9594</x:v>
      </x:c>
      <x:c r="Q24" s="12" t="n">
        <x:v>36852965864.99589</x:v>
      </x:c>
      <x:c r="R24" s="12" t="n">
        <x:v>-709461701.9635086</x:v>
      </x:c>
      <x:c r="S24" s="12" t="n">
        <x:v>24046905786.56586</x:v>
      </x:c>
      <x:c r="T24" s="14" t="n">
        <x:v>0.11068121759591791</x:v>
      </x:c>
      <x:c r="U24" s="14" t="n">
        <x:v>0.5232792299679315</x:v>
      </x:c>
      <x:c r="V24" s="14" t="n">
        <x:v>1.2547931498941696</x:v>
      </x:c>
      <x:c r="W24" s="12" t="n">
        <x:v>41574552.18969538</x:v>
      </x:c>
      <x:c r="X24" s="12" t="n">
        <x:v>196556381.72964716</x:v>
      </x:c>
      <x:c r="Y24" s="12" t="n">
        <x:v>471330768.0441657</x:v>
      </x:c>
      <x:c r="Z24" s="14" t="n">
        <x:v>-0.07806418624761988</x:v>
      </x:c>
      <x:c r="AA24" s="14" t="n">
        <x:v>-0.42553809373351953</x:v>
      </x:c>
      <x:c r="AB24" s="14" t="n">
        <x:v>-0.8516339551210974</x:v>
      </x:c>
      <x:c r="AC24" s="12" t="n">
        <x:v>39299703.94226795</x:v>
      </x:c>
      <x:c r="AD24" s="12" t="n">
        <x:v>1322586.1903647864</x:v>
      </x:c>
      <x:c r="AE24" s="12" t="n">
        <x:v>952262.0570626463</x:v>
      </x:c>
      <x:c r="AF24" s="12" t="n">
        <x:v>125376804.73618717</x:v>
      </x:c>
      <x:c r="AG24" s="12" t="n">
        <x:v>71179576.99346</x:v>
      </x:c>
      <x:c r="AH24" s="13" t="n">
        <x:v>104000000</x:v>
      </x:c>
      <x:c r="AI24" s="13" t="n">
        <x:v>7000000</x:v>
      </x:c>
      <x:c r="AJ24" s="13" t="n">
        <x:v>630000000</x:v>
      </x:c>
      <x:c r="AK24" s="12" t="n">
        <x:v>299373000000</x:v>
      </x:c>
      <x:c r="AL24" s="14" t="n">
        <x:v>0.18613243120519987</x:v>
      </x:c>
      <x:c r="AM24" s="13" t="n">
        <x:v>49</x:v>
      </x:c>
      <x:c r="AN24" s="13" t="n">
        <x:v>68</x:v>
      </x:c>
      <x:c r="AO24" s="14" t="n">
        <x:v>72.05882352941177</x:v>
      </x:c>
      <x:c r="AP24" s="10" t="str">
        <x:v>Medium</x:v>
      </x:c>
      <x:c r="AQ24" s="10" t="str">
        <x:v>Issuer facility-to-FEMA county match</x:v>
      </x:c>
      <x:c r="AR24" s="14" t="n">
        <x:v>0.18613243120519987</x:v>
      </x:c>
      <x:c r="AS24" s="14" t="n">
        <x:v>7.579869737287252</x:v>
      </x:c>
      <x:c r="AT24" s="14" t="n">
        <x:v>0</x:v>
      </x:c>
      <x:c r="AU24" s="14" t="n">
        <x:v>5.418008975739499</x:v>
      </x:c>
      <x:c r="AV24" s="14" t="n">
        <x:v>1.7999999999999998</x:v>
      </x:c>
      <x:c r="AW24" s="10" t="n">
        <x:v>0.75</x:v>
      </x:c>
      <x:c r="AX24" s="10" t="n">
        <x:v>0.5</x:v>
      </x:c>
      <x:c r="AY24" s="10" t="n">
        <x:v>0.5</x:v>
      </x:c>
      <x:c r="AZ24" s="10" t="n">
        <x:v>0.003</x:v>
      </x:c>
      <x:c r="BA24" s="10" t="n">
        <x:v>0.03</x:v>
      </x:c>
      <x:c r="BB24" s="10" t="n">
        <x:v>0.45</x:v>
      </x:c>
      <x:c r="BC24" s="10" t="n">
        <x:v>0.5</x:v>
      </x:c>
      <x:c r="BD24" s="10" t="n">
        <x:v>0.1</x:v>
      </x:c>
      <x:c r="BE24" s="10" t="n">
        <x:v>0.25</x:v>
      </x:c>
      <x:c r="BF24" s="10" t="n">
        <x:v>1</x:v>
      </x:c>
      <x:c r="BG24" s="10" t="n">
        <x:v>0.6</x:v>
      </x:c>
      <x:c r="BH24" s="10" t="n">
        <x:v>1.0456609582451413</x:v>
      </x:c>
      <x:c r="BI24" s="10" t="str">
        <x:v>Common scenario elasticity + issuer SEC CapEx/CFO dependency scale</x:v>
      </x:c>
      <x:c r="BJ24" s="10" t="str">
        <x:v>Modeled estimate using observed inputs + disclosed assumptions</x:v>
      </x:c>
      <x:c r="BK24" s="11" t="b">
        <x:v>0</x:v>
      </x:c>
      <x:c r="BL24" s="11" t="b">
        <x:v>0</x:v>
      </x:c>
      <x:c r="BM24" s="11" t="b">
        <x:v>0</x:v>
      </x:c>
      <x:c r="BN24" s="10" t="str">
        <x:v>Conditional scenario sensitivity; not a forecast or probability</x:v>
      </x:c>
      <x:c r="BO24" s="14" t="n">
        <x:v>101.37385521884588</x:v>
      </x:c>
    </x:row>
    <x:row r="25" ht="18" customHeight="1">
      <x:c r="A25" s="10" t="str">
        <x:v>XOM</x:v>
      </x:c>
      <x:c r="B25" s="10" t="str">
        <x:v>Energy</x:v>
      </x:c>
      <x:c r="C25" s="10" t="str">
        <x:v>cp_vs_baseline</x:v>
      </x:c>
      <x:c r="D25" s="10" t="str">
        <x:v>Current Policies vs baseline</x:v>
      </x:c>
      <x:c r="E25" s="10" t="str">
        <x:v>CP vs baseline</x:v>
      </x:c>
      <x:c r="F25" s="10" t="str">
        <x:v>current_policies</x:v>
      </x:c>
      <x:c r="G25" s="10" t="str">
        <x:v>baseline</x:v>
      </x:c>
      <x:c r="H25" s="10" t="n">
        <x:v>2050</x:v>
      </x:c>
      <x:c r="I25" s="10" t="str">
        <x:v>high</x:v>
      </x:c>
      <x:c r="J25" s="11" t="b">
        <x:v>1</x:v>
      </x:c>
      <x:c r="K25" s="10" t="str">
        <x:v>CFP-2026-003-R17-20260804T234500Z</x:v>
      </x:c>
      <x:c r="L2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5" s="14" t="n">
        <x:v>-2.6965633118586685</x:v>
      </x:c>
      <x:c r="N25" s="12" t="n">
        <x:v>676608329467.1913</x:v>
      </x:c>
      <x:c r="O25" s="12" t="n">
        <x:v>658363157489.7992</x:v>
      </x:c>
      <x:c r="P25" s="12" t="n">
        <x:v>37562427566.9594</x:v>
      </x:c>
      <x:c r="Q25" s="12" t="n">
        <x:v>36179337989.60489</x:v>
      </x:c>
      <x:c r="R25" s="12" t="n">
        <x:v>-1383089577.3545074</x:v>
      </x:c>
      <x:c r="S25" s="12" t="n">
        <x:v>24046905786.56586</x:v>
      </x:c>
      <x:c r="T25" s="14" t="n">
        <x:v>0.3535487415282122</x:v>
      </x:c>
      <x:c r="U25" s="14" t="n">
        <x:v>1.2372384785355481</x:v>
      </x:c>
      <x:c r="V25" s="14" t="n">
        <x:v>2.0913219164902825</x:v>
      </x:c>
      <x:c r="W25" s="12" t="n">
        <x:v>132801489.9504312</x:v>
      </x:c>
      <x:c r="X25" s="12" t="n">
        <x:v>464736807.33046573</x:v>
      </x:c>
      <x:c r="Y25" s="12" t="n">
        <x:v>785551280.0736095</x:v>
      </x:c>
      <x:c r="Z25" s="14" t="n">
        <x:v>-0.23374151854871805</x:v>
      </x:c>
      <x:c r="AA25" s="14" t="n">
        <x:v>-1.043431868108119</x:v>
      </x:c>
      <x:c r="AB25" s="14" t="n">
        <x:v>-1.419389925201829</x:v>
      </x:c>
      <x:c r="AC25" s="12" t="n">
        <x:v>122191939.79337206</x:v>
      </x:c>
      <x:c r="AD25" s="12" t="n">
        <x:v>6168343.1145692635</x:v>
      </x:c>
      <x:c r="AE25" s="12" t="n">
        <x:v>4441207.0424898695</x:v>
      </x:c>
      <x:c r="AF25" s="12" t="n">
        <x:v>236962160.95139372</x:v>
      </x:c>
      <x:c r="AG25" s="12" t="n">
        <x:v>227774646.379072</x:v>
      </x:c>
      <x:c r="AH25" s="13" t="n">
        <x:v>104000000</x:v>
      </x:c>
      <x:c r="AI25" s="13" t="n">
        <x:v>7000000</x:v>
      </x:c>
      <x:c r="AJ25" s="13" t="n">
        <x:v>630000000</x:v>
      </x:c>
      <x:c r="AK25" s="12" t="n">
        <x:v>299373000000</x:v>
      </x:c>
      <x:c r="AL25" s="14" t="n">
        <x:v>0.18613243120519987</x:v>
      </x:c>
      <x:c r="AM25" s="13" t="n">
        <x:v>49</x:v>
      </x:c>
      <x:c r="AN25" s="13" t="n">
        <x:v>68</x:v>
      </x:c>
      <x:c r="AO25" s="14" t="n">
        <x:v>72.05882352941177</x:v>
      </x:c>
      <x:c r="AP25" s="10" t="str">
        <x:v>Medium</x:v>
      </x:c>
      <x:c r="AQ25" s="10" t="str">
        <x:v>Issuer facility-to-FEMA county match</x:v>
      </x:c>
      <x:c r="AR25" s="14" t="n">
        <x:v>0.18613243120519987</x:v>
      </x:c>
      <x:c r="AS25" s="14" t="n">
        <x:v>7.579869737287252</x:v>
      </x:c>
      <x:c r="AT25" s="14" t="n">
        <x:v>0</x:v>
      </x:c>
      <x:c r="AU25" s="14" t="n">
        <x:v>5.418008975739499</x:v>
      </x:c>
      <x:c r="AV25" s="14" t="n">
        <x:v>1.7999999999999998</x:v>
      </x:c>
      <x:c r="AW25" s="10" t="n">
        <x:v>1</x:v>
      </x:c>
      <x:c r="AX25" s="10" t="n">
        <x:v>0.3</x:v>
      </x:c>
      <x:c r="AY25" s="10" t="n">
        <x:v>0.75</x:v>
      </x:c>
      <x:c r="AZ25" s="10" t="n">
        <x:v>0.006</x:v>
      </x:c>
      <x:c r="BA25" s="10" t="n">
        <x:v>0.01</x:v>
      </x:c>
      <x:c r="BB25" s="10" t="n">
        <x:v>0.6075</x:v>
      </x:c>
      <x:c r="BC25" s="10" t="n">
        <x:v>0.3</x:v>
      </x:c>
      <x:c r="BD25" s="10" t="n">
        <x:v>0.2</x:v>
      </x:c>
      <x:c r="BE25" s="10" t="n">
        <x:v>0.4</x:v>
      </x:c>
      <x:c r="BF25" s="10" t="n">
        <x:v>1</x:v>
      </x:c>
      <x:c r="BG25" s="10" t="n">
        <x:v>1</x:v>
      </x:c>
      <x:c r="BH25" s="10" t="n">
        <x:v>1.0456609582451413</x:v>
      </x:c>
      <x:c r="BI25" s="10" t="str">
        <x:v>Common scenario elasticity + issuer SEC CapEx/CFO dependency scale</x:v>
      </x:c>
      <x:c r="BJ25" s="10" t="str">
        <x:v>Modeled estimate using observed inputs + disclosed assumptions</x:v>
      </x:c>
      <x:c r="BK25" s="11" t="b">
        <x:v>0</x:v>
      </x:c>
      <x:c r="BL25" s="11" t="b">
        <x:v>0</x:v>
      </x:c>
      <x:c r="BM25" s="11" t="b">
        <x:v>0</x:v>
      </x:c>
      <x:c r="BN25" s="10" t="str">
        <x:v>Conditional scenario sensitivity; not a forecast or probability</x:v>
      </x:c>
      <x:c r="BO25" s="14" t="n">
        <x:v>102.7712929816664</x:v>
      </x:c>
    </x:row>
    <x:row r="26" ht="18" customHeight="1">
      <x:c r="A26" s="10" t="str">
        <x:v>AAPL</x:v>
      </x:c>
      <x:c r="B26" s="10" t="str">
        <x:v>Technology</x:v>
      </x:c>
      <x:c r="C26" s="10" t="str">
        <x:v>nz_vs_baseline</x:v>
      </x:c>
      <x:c r="D26" s="10" t="str">
        <x:v>Net Zero 2050 vs baseline</x:v>
      </x:c>
      <x:c r="E26" s="10" t="str">
        <x:v>Net Zero vs baseline</x:v>
      </x:c>
      <x:c r="F26" s="10" t="str">
        <x:v>net_zero_2050</x:v>
      </x:c>
      <x:c r="G26" s="10" t="str">
        <x:v>baseline</x:v>
      </x:c>
      <x:c r="H26" s="10" t="n">
        <x:v>2050</x:v>
      </x:c>
      <x:c r="I26" s="10" t="str">
        <x:v>low</x:v>
      </x:c>
      <x:c r="J26" s="11" t="b">
        <x:v>1</x:v>
      </x:c>
      <x:c r="K26" s="10" t="str">
        <x:v>CFP-2026-003-R17-20260804T234500Z</x:v>
      </x:c>
      <x:c r="L2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6" s="14" t="n">
        <x:v>-0.3859086664993905</x:v>
      </x:c>
      <x:c r="N26" s="12" t="n">
        <x:v>1511832209193.6655</x:v>
      </x:c>
      <x:c r="O26" s="12" t="n">
        <x:v>1505997917675.458</x:v>
      </x:c>
      <x:c r="P26" s="12" t="n">
        <x:v>190556654157.15817</x:v>
      </x:c>
      <x:c r="Q26" s="12" t="n">
        <x:v>189215511260.90463</x:v>
      </x:c>
      <x:c r="R26" s="12" t="n">
        <x:v>-1341142896.25354</x:v>
      </x:c>
      <x:c r="S26" s="12" t="n">
        <x:v>102784466009.31221</x:v>
      </x:c>
      <x:c r="T26" s="14" t="n">
        <x:v>0.00639059556162659</x:v>
      </x:c>
      <x:c r="U26" s="14" t="n">
        <x:v>0.05265511341841229</x:v>
      </x:c>
      <x:c r="V26" s="14" t="n">
        <x:v>0.6447570011302273</x:v>
      </x:c>
      <x:c r="W26" s="12" t="n">
        <x:v>12177705.08295148</x:v>
      </x:c>
      <x:c r="X26" s="12" t="n">
        <x:v>100337822.37278329</x:v>
      </x:c>
      <x:c r="Y26" s="12" t="n">
        <x:v>1228627368.7977915</x:v>
      </x:c>
      <x:c r="Z26" s="14" t="n">
        <x:v>-0.006833811051098116</x:v>
      </x:c>
      <x:c r="AA26" s="14" t="n">
        <x:v>-0.05218566849905739</x:v>
      </x:c>
      <x:c r="AB26" s="14" t="n">
        <x:v>-0.32688918694923297</x:v>
      </x:c>
      <x:c r="AC26" s="12" t="n">
        <x:v>1876500.3017068089</x:v>
      </x:c>
      <x:c r="AD26" s="12" t="n">
        <x:v>28045.520813552852</x:v>
      </x:c>
      <x:c r="AE26" s="12" t="n">
        <x:v>10273159.260431118</x:v>
      </x:c>
      <x:c r="AF26" s="12" t="n">
        <x:v>979945.7936729663</x:v>
      </x:c>
      <x:c r="AG26" s="12" t="n">
        <x:v>99357876.57911032</x:v>
      </x:c>
      <x:c r="AH26" s="13" t="n">
        <x:v>55200</x:v>
      </x:c>
      <x:c r="AI26" s="13" t="n">
        <x:v>3300</x:v>
      </x:c>
      <x:c r="AJ26" s="13" t="n">
        <x:v>15110000</x:v>
      </x:c>
      <x:c r="AK26" s="12" t="n">
        <x:v>50159000000</x:v>
      </x:c>
      <x:c r="AL26" s="14" t="n">
        <x:v>0.18089619337783003</x:v>
      </x:c>
      <x:c r="AM26" s="13" t="n">
        <x:v>0</x:v>
      </x:c>
      <x:c r="AN26" s="13" t="n">
        <x:v>0</x:v>
      </x:c>
      <x:c r="AO26" s="14"/>
      <x:c r="AP26" s="10" t="str">
        <x:v>Unverified</x:v>
      </x:c>
      <x:c r="AQ26" s="10" t="str">
        <x:v>Proxy fallback; no issuer facilities in governed match file</x:v>
      </x:c>
      <x:c r="AR26" s="14"/>
      <x:c r="AS26" s="14" t="n">
        <x:v>6.952114548720453</x:v>
      </x:c>
      <x:c r="AT26" s="14" t="n">
        <x:v>0</x:v>
      </x:c>
      <x:c r="AU26" s="14" t="n">
        <x:v>9.468635607765986</x:v>
      </x:c>
      <x:c r="AV26" s="14" t="n">
        <x:v>2.5</x:v>
      </x:c>
      <x:c r="AW26" s="10" t="n">
        <x:v>0.5</x:v>
      </x:c>
      <x:c r="AX26" s="10" t="n">
        <x:v>0.7</x:v>
      </x:c>
      <x:c r="AY26" s="10" t="n">
        <x:v>0.25</x:v>
      </x:c>
      <x:c r="AZ26" s="10" t="n">
        <x:v>0.01</x:v>
      </x:c>
      <x:c r="BA26" s="10" t="n">
        <x:v>0.05</x:v>
      </x:c>
      <x:c r="BB26" s="10" t="n">
        <x:v>0.06</x:v>
      </x:c>
      <x:c r="BC26" s="10" t="n">
        <x:v>0.7</x:v>
      </x:c>
      <x:c r="BD26" s="10" t="n">
        <x:v>0.05</x:v>
      </x:c>
      <x:c r="BE26" s="10" t="n">
        <x:v>0.15</x:v>
      </x:c>
      <x:c r="BF26" s="10" t="n">
        <x:v>0.6</x:v>
      </x:c>
      <x:c r="BG26" s="10" t="n">
        <x:v>0.35</x:v>
      </x:c>
      <x:c r="BH26" s="10" t="n">
        <x:v>0.6140542867906926</x:v>
      </x:c>
      <x:c r="BI26" s="10" t="str">
        <x:v>Common scenario elasticity + issuer SEC CapEx/CFO dependency scale</x:v>
      </x:c>
      <x:c r="BJ26" s="10" t="str">
        <x:v>Modeled estimate using observed inputs + disclosed assumptions</x:v>
      </x:c>
      <x:c r="BK26" s="11" t="b">
        <x:v>0</x:v>
      </x:c>
      <x:c r="BL26" s="11" t="b">
        <x:v>0</x:v>
      </x:c>
      <x:c r="BM26" s="11" t="b">
        <x:v>0</x:v>
      </x:c>
      <x:c r="BN26" s="10" t="str">
        <x:v>Conditional scenario sensitivity; not a forecast or probability</x:v>
      </x:c>
      <x:c r="BO26" s="14" t="n">
        <x:v>100.38740369091697</x:v>
      </x:c>
    </x:row>
    <x:row r="27" ht="18" customHeight="1">
      <x:c r="A27" s="10" t="str">
        <x:v>AAPL</x:v>
      </x:c>
      <x:c r="B27" s="10" t="str">
        <x:v>Technology</x:v>
      </x:c>
      <x:c r="C27" s="10" t="str">
        <x:v>nz_vs_baseline</x:v>
      </x:c>
      <x:c r="D27" s="10" t="str">
        <x:v>Net Zero 2050 vs baseline</x:v>
      </x:c>
      <x:c r="E27" s="10" t="str">
        <x:v>Net Zero vs baseline</x:v>
      </x:c>
      <x:c r="F27" s="10" t="str">
        <x:v>net_zero_2050</x:v>
      </x:c>
      <x:c r="G27" s="10" t="str">
        <x:v>baseline</x:v>
      </x:c>
      <x:c r="H27" s="10" t="n">
        <x:v>2050</x:v>
      </x:c>
      <x:c r="I27" s="10" t="str">
        <x:v>base</x:v>
      </x:c>
      <x:c r="J27" s="11" t="b">
        <x:v>1</x:v>
      </x:c>
      <x:c r="K27" s="10" t="str">
        <x:v>CFP-2026-003-R17-20260804T234500Z</x:v>
      </x:c>
      <x:c r="L2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7" s="14" t="n">
        <x:v>-0.7632775915896506</x:v>
      </x:c>
      <x:c r="N27" s="12" t="n">
        <x:v>1511832209193.6655</x:v>
      </x:c>
      <x:c r="O27" s="12" t="n">
        <x:v>1500292732718.4556</x:v>
      </x:c>
      <x:c r="P27" s="12" t="n">
        <x:v>190556654157.15817</x:v>
      </x:c>
      <x:c r="Q27" s="12" t="n">
        <x:v>188050738976.85986</x:v>
      </x:c>
      <x:c r="R27" s="12" t="n">
        <x:v>-2505915180.2983093</x:v>
      </x:c>
      <x:c r="S27" s="12" t="n">
        <x:v>102784466009.31221</x:v>
      </x:c>
      <x:c r="T27" s="14" t="n">
        <x:v>0.03452088330334466</x:v>
      </x:c>
      <x:c r="U27" s="14" t="n">
        <x:v>0.17523134789303604</x:v>
      </x:c>
      <x:c r="V27" s="14" t="n">
        <x:v>1.1052977162232465</x:v>
      </x:c>
      <x:c r="W27" s="12" t="n">
        <x:v>65781840.20835063</x:v>
      </x:c>
      <x:c r="X27" s="12" t="n">
        <x:v>333914993.57945937</x:v>
      </x:c>
      <x:c r="Y27" s="12" t="n">
        <x:v>2106218346.5104995</x:v>
      </x:c>
      <x:c r="Z27" s="14" t="n">
        <x:v>-0.02911701107759182</x:v>
      </x:c>
      <x:c r="AA27" s="14" t="n">
        <x:v>-0.1737791171704774</x:v>
      </x:c>
      <x:c r="AB27" s="14" t="n">
        <x:v>-0.5603814633415775</x:v>
      </x:c>
      <x:c r="AC27" s="12" t="n">
        <x:v>7897540.681119994</x:v>
      </x:c>
      <x:c r="AD27" s="12" t="n">
        <x:v>236067.79209869547</x:v>
      </x:c>
      <x:c r="AE27" s="12" t="n">
        <x:v>57648231.73513194</x:v>
      </x:c>
      <x:c r="AF27" s="12" t="n">
        <x:v>2722071.649091573</x:v>
      </x:c>
      <x:c r="AG27" s="12" t="n">
        <x:v>331192921.93036777</x:v>
      </x:c>
      <x:c r="AH27" s="13" t="n">
        <x:v>55200</x:v>
      </x:c>
      <x:c r="AI27" s="13" t="n">
        <x:v>3300</x:v>
      </x:c>
      <x:c r="AJ27" s="13" t="n">
        <x:v>15110000</x:v>
      </x:c>
      <x:c r="AK27" s="12" t="n">
        <x:v>50159000000</x:v>
      </x:c>
      <x:c r="AL27" s="14" t="n">
        <x:v>0.18089619337783003</x:v>
      </x:c>
      <x:c r="AM27" s="13" t="n">
        <x:v>0</x:v>
      </x:c>
      <x:c r="AN27" s="13" t="n">
        <x:v>0</x:v>
      </x:c>
      <x:c r="AO27" s="14"/>
      <x:c r="AP27" s="10" t="str">
        <x:v>Unverified</x:v>
      </x:c>
      <x:c r="AQ27" s="10" t="str">
        <x:v>Proxy fallback; no issuer facilities in governed match file</x:v>
      </x:c>
      <x:c r="AR27" s="14"/>
      <x:c r="AS27" s="14" t="n">
        <x:v>6.952114548720453</x:v>
      </x:c>
      <x:c r="AT27" s="14" t="n">
        <x:v>0</x:v>
      </x:c>
      <x:c r="AU27" s="14" t="n">
        <x:v>9.468635607765986</x:v>
      </x:c>
      <x:c r="AV27" s="14" t="n">
        <x:v>2.5</x:v>
      </x:c>
      <x:c r="AW27" s="10" t="n">
        <x:v>0.75</x:v>
      </x:c>
      <x:c r="AX27" s="10" t="n">
        <x:v>0.5</x:v>
      </x:c>
      <x:c r="AY27" s="10" t="n">
        <x:v>0.5</x:v>
      </x:c>
      <x:c r="AZ27" s="10" t="n">
        <x:v>0.02</x:v>
      </x:c>
      <x:c r="BA27" s="10" t="n">
        <x:v>0.03</x:v>
      </x:c>
      <x:c r="BB27" s="10" t="n">
        <x:v>0.1</x:v>
      </x:c>
      <x:c r="BC27" s="10" t="n">
        <x:v>0.5</x:v>
      </x:c>
      <x:c r="BD27" s="10" t="n">
        <x:v>0.1</x:v>
      </x:c>
      <x:c r="BE27" s="10" t="n">
        <x:v>0.25</x:v>
      </x:c>
      <x:c r="BF27" s="10" t="n">
        <x:v>0.6</x:v>
      </x:c>
      <x:c r="BG27" s="10" t="n">
        <x:v>0.6</x:v>
      </x:c>
      <x:c r="BH27" s="10" t="n">
        <x:v>0.6140542867906926</x:v>
      </x:c>
      <x:c r="BI27" s="10" t="str">
        <x:v>Common scenario elasticity + issuer SEC CapEx/CFO dependency scale</x:v>
      </x:c>
      <x:c r="BJ27" s="10" t="str">
        <x:v>Modeled estimate using observed inputs + disclosed assumptions</x:v>
      </x:c>
      <x:c r="BK27" s="11" t="b">
        <x:v>0</x:v>
      </x:c>
      <x:c r="BL27" s="11" t="b">
        <x:v>0</x:v>
      </x:c>
      <x:c r="BM27" s="11" t="b">
        <x:v>0</x:v>
      </x:c>
      <x:c r="BN27" s="10" t="str">
        <x:v>Conditional scenario sensitivity; not a forecast or probability</x:v>
      </x:c>
      <x:c r="BO27" s="14" t="n">
        <x:v>100.76914832842661</x:v>
      </x:c>
    </x:row>
    <x:row r="28" ht="18" customHeight="1">
      <x:c r="A28" s="10" t="str">
        <x:v>AAPL</x:v>
      </x:c>
      <x:c r="B28" s="10" t="str">
        <x:v>Technology</x:v>
      </x:c>
      <x:c r="C28" s="10" t="str">
        <x:v>nz_vs_baseline</x:v>
      </x:c>
      <x:c r="D28" s="10" t="str">
        <x:v>Net Zero 2050 vs baseline</x:v>
      </x:c>
      <x:c r="E28" s="10" t="str">
        <x:v>Net Zero vs baseline</x:v>
      </x:c>
      <x:c r="F28" s="10" t="str">
        <x:v>net_zero_2050</x:v>
      </x:c>
      <x:c r="G28" s="10" t="str">
        <x:v>baseline</x:v>
      </x:c>
      <x:c r="H28" s="10" t="n">
        <x:v>2050</x:v>
      </x:c>
      <x:c r="I28" s="10" t="str">
        <x:v>high</x:v>
      </x:c>
      <x:c r="J28" s="11" t="b">
        <x:v>1</x:v>
      </x:c>
      <x:c r="K28" s="10" t="str">
        <x:v>CFP-2026-003-R17-20260804T234500Z</x:v>
      </x:c>
      <x:c r="L2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8" s="14" t="n">
        <x:v>-1.5952819402176743</x:v>
      </x:c>
      <x:c r="N28" s="12" t="n">
        <x:v>1511832209193.6655</x:v>
      </x:c>
      <x:c r="O28" s="12" t="n">
        <x:v>1487714222994.0051</x:v>
      </x:c>
      <x:c r="P28" s="12" t="n">
        <x:v>190556654157.15817</x:v>
      </x:c>
      <x:c r="Q28" s="12" t="n">
        <x:v>185686809216.9918</x:v>
      </x:c>
      <x:c r="R28" s="12" t="n">
        <x:v>-4869844940.166382</x:v>
      </x:c>
      <x:c r="S28" s="12" t="n">
        <x:v>102784466009.31221</x:v>
      </x:c>
      <x:c r="T28" s="14" t="n">
        <x:v>0.1545571657018605</x:v>
      </x:c>
      <x:c r="U28" s="14" t="n">
        <x:v>0.558868998988433</x:v>
      </x:c>
      <x:c r="V28" s="14" t="n">
        <x:v>1.8421628603720777</x:v>
      </x:c>
      <x:c r="W28" s="12" t="n">
        <x:v>294518963.72160023</x:v>
      </x:c>
      <x:c r="X28" s="12" t="n">
        <x:v>1064962065.59396</x:v>
      </x:c>
      <x:c r="Y28" s="12" t="n">
        <x:v>3510363910.8508325</x:v>
      </x:c>
      <x:c r="Z28" s="14" t="n">
        <x:v>-0.10635353779865103</x:v>
      </x:c>
      <x:c r="AA28" s="14" t="n">
        <x:v>-0.554959296849707</x:v>
      </x:c>
      <x:c r="AB28" s="14" t="n">
        <x:v>-0.9339691055693138</x:v>
      </x:c>
      <x:c r="AC28" s="12" t="n">
        <x:v>24555294.78900779</x:v>
      </x:c>
      <x:c r="AD28" s="12" t="n">
        <x:v>1100984.6848332298</x:v>
      </x:c>
      <x:c r="AE28" s="12" t="n">
        <x:v>268862684.2477592</x:v>
      </x:c>
      <x:c r="AF28" s="12" t="n">
        <x:v>5144715.416783072</x:v>
      </x:c>
      <x:c r="AG28" s="12" t="n">
        <x:v>1059817350.177177</x:v>
      </x:c>
      <x:c r="AH28" s="13" t="n">
        <x:v>55200</x:v>
      </x:c>
      <x:c r="AI28" s="13" t="n">
        <x:v>3300</x:v>
      </x:c>
      <x:c r="AJ28" s="13" t="n">
        <x:v>15110000</x:v>
      </x:c>
      <x:c r="AK28" s="12" t="n">
        <x:v>50159000000</x:v>
      </x:c>
      <x:c r="AL28" s="14" t="n">
        <x:v>0.18089619337783003</x:v>
      </x:c>
      <x:c r="AM28" s="13" t="n">
        <x:v>0</x:v>
      </x:c>
      <x:c r="AN28" s="13" t="n">
        <x:v>0</x:v>
      </x:c>
      <x:c r="AO28" s="14"/>
      <x:c r="AP28" s="10" t="str">
        <x:v>Unverified</x:v>
      </x:c>
      <x:c r="AQ28" s="10" t="str">
        <x:v>Proxy fallback; no issuer facilities in governed match file</x:v>
      </x:c>
      <x:c r="AR28" s="14"/>
      <x:c r="AS28" s="14" t="n">
        <x:v>6.952114548720453</x:v>
      </x:c>
      <x:c r="AT28" s="14" t="n">
        <x:v>0</x:v>
      </x:c>
      <x:c r="AU28" s="14" t="n">
        <x:v>9.468635607765986</x:v>
      </x:c>
      <x:c r="AV28" s="14" t="n">
        <x:v>2.5</x:v>
      </x:c>
      <x:c r="AW28" s="10" t="n">
        <x:v>1</x:v>
      </x:c>
      <x:c r="AX28" s="10" t="n">
        <x:v>0.3</x:v>
      </x:c>
      <x:c r="AY28" s="10" t="n">
        <x:v>0.75</x:v>
      </x:c>
      <x:c r="AZ28" s="10" t="n">
        <x:v>0.04</x:v>
      </x:c>
      <x:c r="BA28" s="10" t="n">
        <x:v>0.01</x:v>
      </x:c>
      <x:c r="BB28" s="10" t="n">
        <x:v>0.135</x:v>
      </x:c>
      <x:c r="BC28" s="10" t="n">
        <x:v>0.3</x:v>
      </x:c>
      <x:c r="BD28" s="10" t="n">
        <x:v>0.2</x:v>
      </x:c>
      <x:c r="BE28" s="10" t="n">
        <x:v>0.4</x:v>
      </x:c>
      <x:c r="BF28" s="10" t="n">
        <x:v>0.6</x:v>
      </x:c>
      <x:c r="BG28" s="10" t="n">
        <x:v>1</x:v>
      </x:c>
      <x:c r="BH28" s="10" t="n">
        <x:v>0.6140542867906926</x:v>
      </x:c>
      <x:c r="BI28" s="10" t="str">
        <x:v>Common scenario elasticity + issuer SEC CapEx/CFO dependency scale</x:v>
      </x:c>
      <x:c r="BJ28" s="10" t="str">
        <x:v>Modeled estimate using observed inputs + disclosed assumptions</x:v>
      </x:c>
      <x:c r="BK28" s="11" t="b">
        <x:v>0</x:v>
      </x:c>
      <x:c r="BL28" s="11" t="b">
        <x:v>0</x:v>
      </x:c>
      <x:c r="BM28" s="11" t="b">
        <x:v>0</x:v>
      </x:c>
      <x:c r="BN28" s="10" t="str">
        <x:v>Conditional scenario sensitivity; not a forecast or probability</x:v>
      </x:c>
      <x:c r="BO28" s="14" t="n">
        <x:v>101.62114375374615</x:v>
      </x:c>
    </x:row>
    <x:row r="29" ht="18" customHeight="1">
      <x:c r="A29" s="10" t="str">
        <x:v>CAT</x:v>
      </x:c>
      <x:c r="B29" s="10" t="str">
        <x:v>Industrials</x:v>
      </x:c>
      <x:c r="C29" s="10" t="str">
        <x:v>nz_vs_baseline</x:v>
      </x:c>
      <x:c r="D29" s="10" t="str">
        <x:v>Net Zero 2050 vs baseline</x:v>
      </x:c>
      <x:c r="E29" s="10" t="str">
        <x:v>Net Zero vs baseline</x:v>
      </x:c>
      <x:c r="F29" s="10" t="str">
        <x:v>net_zero_2050</x:v>
      </x:c>
      <x:c r="G29" s="10" t="str">
        <x:v>baseline</x:v>
      </x:c>
      <x:c r="H29" s="10" t="n">
        <x:v>2050</x:v>
      </x:c>
      <x:c r="I29" s="10" t="str">
        <x:v>low</x:v>
      </x:c>
      <x:c r="J29" s="11" t="b">
        <x:v>1</x:v>
      </x:c>
      <x:c r="K29" s="10" t="str">
        <x:v>CFP-2026-003-R17-20260804T234500Z</x:v>
      </x:c>
      <x:c r="L2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29" s="14" t="n">
        <x:v>-1.5881178280016117</x:v>
      </x:c>
      <x:c r="N29" s="12" t="n">
        <x:v>121641418108.2752</x:v>
      </x:c>
      <x:c r="O29" s="12" t="n">
        <x:v>119709609061.0637</x:v>
      </x:c>
      <x:c r="P29" s="12" t="n">
        <x:v>18326479866.126686</x:v>
      </x:c>
      <x:c r="Q29" s="12" t="n">
        <x:v>17960045788.16135</x:v>
      </x:c>
      <x:c r="R29" s="12" t="n">
        <x:v>-366434077.96533585</x:v>
      </x:c>
      <x:c r="S29" s="12" t="n">
        <x:v>10636693843.707409</x:v>
      </x:c>
      <x:c r="T29" s="14" t="n">
        <x:v>1.1672227159060065</x:v>
      </x:c>
      <x:c r="U29" s="14" t="n">
        <x:v>0.05493049318161596</x:v>
      </x:c>
      <x:c r="V29" s="14" t="n">
        <x:v>0.7773255813953486</x:v>
      </x:c>
      <x:c r="W29" s="12" t="n">
        <x:v>213910836.02337134</x:v>
      </x:c>
      <x:c r="X29" s="12" t="n">
        <x:v>10066825.773292942</x:v>
      </x:c>
      <x:c r="Y29" s="12" t="n">
        <x:v>142456416.16867077</x:v>
      </x:c>
      <x:c r="Z29" s="14" t="n">
        <x:v>-1.1957269511187527</x:v>
      </x:c>
      <x:c r="AA29" s="14" t="n">
        <x:v>-0.053270879368795175</x:v>
      </x:c>
      <x:c r="AB29" s="14" t="n">
        <x:v>-0.33911999751406596</x:v>
      </x:c>
      <x:c r="AC29" s="12" t="n">
        <x:v>23116308.064504173</x:v>
      </x:c>
      <x:c r="AD29" s="12" t="n">
        <x:v>5864063.442833778</x:v>
      </x:c>
      <x:c r="AE29" s="12" t="n">
        <x:v>184930464.51603338</x:v>
      </x:c>
      <x:c r="AF29" s="12" t="n">
        <x:v>511241.72548305546</x:v>
      </x:c>
      <x:c r="AG29" s="12" t="n">
        <x:v>9555584.047809886</x:v>
      </x:c>
      <x:c r="AH29" s="13" t="n">
        <x:v>680000</x:v>
      </x:c>
      <x:c r="AI29" s="13" t="n">
        <x:v>690000</x:v>
      </x:c>
      <x:c r="AJ29" s="13" t="n">
        <x:v>680000000</x:v>
      </x:c>
      <x:c r="AK29" s="12" t="n">
        <x:v>15140000000</x:v>
      </x:c>
      <x:c r="AL29" s="14" t="n">
        <x:v>0.1250652491518801</x:v>
      </x:c>
      <x:c r="AM29" s="13" t="n">
        <x:v>7</x:v>
      </x:c>
      <x:c r="AN29" s="13" t="n">
        <x:v>7</x:v>
      </x:c>
      <x:c r="AO29" s="14" t="n">
        <x:v>100</x:v>
      </x:c>
      <x:c r="AP29" s="10" t="str">
        <x:v>High</x:v>
      </x:c>
      <x:c r="AQ29" s="10" t="str">
        <x:v>Issuer facility-to-FEMA county match</x:v>
      </x:c>
      <x:c r="AR29" s="14" t="n">
        <x:v>0.1250652491518801</x:v>
      </x:c>
      <x:c r="AS29" s="14" t="n">
        <x:v>6.952114548720453</x:v>
      </x:c>
      <x:c r="AT29" s="14" t="n">
        <x:v>0</x:v>
      </x:c>
      <x:c r="AU29" s="14" t="n">
        <x:v>11.136677389433892</x:v>
      </x:c>
      <x:c r="AV29" s="14" t="n">
        <x:v>2.1999999999999997</x:v>
      </x:c>
      <x:c r="AW29" s="10" t="n">
        <x:v>0.5</x:v>
      </x:c>
      <x:c r="AX29" s="10" t="n">
        <x:v>0.7</x:v>
      </x:c>
      <x:c r="AY29" s="10" t="n">
        <x:v>0.25</x:v>
      </x:c>
      <x:c r="AZ29" s="10" t="n">
        <x:v>0.004</x:v>
      </x:c>
      <x:c r="BA29" s="10" t="n">
        <x:v>0.05</x:v>
      </x:c>
      <x:c r="BB29" s="10" t="n">
        <x:v>0.15</x:v>
      </x:c>
      <x:c r="BC29" s="10" t="n">
        <x:v>0.7</x:v>
      </x:c>
      <x:c r="BD29" s="10" t="n">
        <x:v>0.05</x:v>
      </x:c>
      <x:c r="BE29" s="10" t="n">
        <x:v>0.15</x:v>
      </x:c>
      <x:c r="BF29" s="10" t="n">
        <x:v>0.6</x:v>
      </x:c>
      <x:c r="BG29" s="10" t="n">
        <x:v>0.35</x:v>
      </x:c>
      <x:c r="BH29" s="10" t="n">
        <x:v>0.7403100775193798</x:v>
      </x:c>
      <x:c r="BI29" s="10" t="str">
        <x:v>Common scenario elasticity + issuer SEC CapEx/CFO dependency scale</x:v>
      </x:c>
      <x:c r="BJ29" s="10" t="str">
        <x:v>Modeled estimate using observed inputs + disclosed assumptions</x:v>
      </x:c>
      <x:c r="BK29" s="11" t="b">
        <x:v>0</x:v>
      </x:c>
      <x:c r="BL29" s="11" t="b">
        <x:v>0</x:v>
      </x:c>
      <x:c r="BM29" s="11" t="b">
        <x:v>0</x:v>
      </x:c>
      <x:c r="BN29" s="10" t="str">
        <x:v>Conditional scenario sensitivity; not a forecast or probability</x:v>
      </x:c>
      <x:c r="BO29" s="14" t="n">
        <x:v>101.6137460161833</x:v>
      </x:c>
    </x:row>
    <x:row r="30" ht="18" customHeight="1">
      <x:c r="A30" s="10" t="str">
        <x:v>CAT</x:v>
      </x:c>
      <x:c r="B30" s="10" t="str">
        <x:v>Industrials</x:v>
      </x:c>
      <x:c r="C30" s="10" t="str">
        <x:v>nz_vs_baseline</x:v>
      </x:c>
      <x:c r="D30" s="10" t="str">
        <x:v>Net Zero 2050 vs baseline</x:v>
      </x:c>
      <x:c r="E30" s="10" t="str">
        <x:v>Net Zero vs baseline</x:v>
      </x:c>
      <x:c r="F30" s="10" t="str">
        <x:v>net_zero_2050</x:v>
      </x:c>
      <x:c r="G30" s="10" t="str">
        <x:v>baseline</x:v>
      </x:c>
      <x:c r="H30" s="10" t="n">
        <x:v>2050</x:v>
      </x:c>
      <x:c r="I30" s="10" t="str">
        <x:v>base</x:v>
      </x:c>
      <x:c r="J30" s="11" t="b">
        <x:v>1</x:v>
      </x:c>
      <x:c r="K30" s="10" t="str">
        <x:v>CFP-2026-003-R17-20260804T234500Z</x:v>
      </x:c>
      <x:c r="L3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0" s="14" t="n">
        <x:v>-5.818660737092063</x:v>
      </x:c>
      <x:c r="N30" s="12" t="n">
        <x:v>121641418108.2752</x:v>
      </x:c>
      <x:c r="O30" s="12" t="n">
        <x:v>114563516672.767</x:v>
      </x:c>
      <x:c r="P30" s="12" t="n">
        <x:v>18326479866.126686</x:v>
      </x:c>
      <x:c r="Q30" s="12" t="n">
        <x:v>16864604154.397493</x:v>
      </x:c>
      <x:c r="R30" s="12" t="n">
        <x:v>-1461875711.7291927</x:v>
      </x:c>
      <x:c r="S30" s="12" t="n">
        <x:v>10636693843.707409</x:v>
      </x:c>
      <x:c r="T30" s="14" t="n">
        <x:v>6.462739481365933</x:v>
      </x:c>
      <x:c r="U30" s="14" t="n">
        <x:v>0.18155184723526843</x:v>
      </x:c>
      <x:c r="V30" s="14" t="n">
        <x:v>1.3325581395348836</x:v>
      </x:c>
      <x:c r="W30" s="12" t="n">
        <x:v>1184392649.852748</x:v>
      </x:c>
      <x:c r="X30" s="12" t="n">
        <x:v>33272062.73015255</x:v>
      </x:c>
      <x:c r="Y30" s="12" t="n">
        <x:v>244210999.14629278</x:v>
      </x:c>
      <x:c r="Z30" s="14" t="n">
        <x:v>-5.060560687980236</x:v>
      </x:c>
      <x:c r="AA30" s="14" t="n">
        <x:v>-0.17675148194484805</x:v>
      </x:c>
      <x:c r="AB30" s="14" t="n">
        <x:v>-0.5813485671669825</x:v>
      </x:c>
      <x:c r="AC30" s="12" t="n">
        <x:v>97288544.62249269</x:v>
      </x:c>
      <x:c r="AD30" s="12" t="n">
        <x:v>49359629.256999955</x:v>
      </x:c>
      <x:c r="AE30" s="12" t="n">
        <x:v>1037744475.9732552</x:v>
      </x:c>
      <x:c r="AF30" s="12" t="n">
        <x:v>1420115.9041195984</x:v>
      </x:c>
      <x:c r="AG30" s="12" t="n">
        <x:v>31851946.82603295</x:v>
      </x:c>
      <x:c r="AH30" s="13" t="n">
        <x:v>680000</x:v>
      </x:c>
      <x:c r="AI30" s="13" t="n">
        <x:v>690000</x:v>
      </x:c>
      <x:c r="AJ30" s="13" t="n">
        <x:v>680000000</x:v>
      </x:c>
      <x:c r="AK30" s="12" t="n">
        <x:v>15140000000</x:v>
      </x:c>
      <x:c r="AL30" s="14" t="n">
        <x:v>0.1250652491518801</x:v>
      </x:c>
      <x:c r="AM30" s="13" t="n">
        <x:v>7</x:v>
      </x:c>
      <x:c r="AN30" s="13" t="n">
        <x:v>7</x:v>
      </x:c>
      <x:c r="AO30" s="14" t="n">
        <x:v>100</x:v>
      </x:c>
      <x:c r="AP30" s="10" t="str">
        <x:v>High</x:v>
      </x:c>
      <x:c r="AQ30" s="10" t="str">
        <x:v>Issuer facility-to-FEMA county match</x:v>
      </x:c>
      <x:c r="AR30" s="14" t="n">
        <x:v>0.1250652491518801</x:v>
      </x:c>
      <x:c r="AS30" s="14" t="n">
        <x:v>6.952114548720453</x:v>
      </x:c>
      <x:c r="AT30" s="14" t="n">
        <x:v>0</x:v>
      </x:c>
      <x:c r="AU30" s="14" t="n">
        <x:v>11.136677389433892</x:v>
      </x:c>
      <x:c r="AV30" s="14" t="n">
        <x:v>2.1999999999999997</x:v>
      </x:c>
      <x:c r="AW30" s="10" t="n">
        <x:v>0.75</x:v>
      </x:c>
      <x:c r="AX30" s="10" t="n">
        <x:v>0.5</x:v>
      </x:c>
      <x:c r="AY30" s="10" t="n">
        <x:v>0.5</x:v>
      </x:c>
      <x:c r="AZ30" s="10" t="n">
        <x:v>0.008</x:v>
      </x:c>
      <x:c r="BA30" s="10" t="n">
        <x:v>0.03</x:v>
      </x:c>
      <x:c r="BB30" s="10" t="n">
        <x:v>0.25</x:v>
      </x:c>
      <x:c r="BC30" s="10" t="n">
        <x:v>0.5</x:v>
      </x:c>
      <x:c r="BD30" s="10" t="n">
        <x:v>0.1</x:v>
      </x:c>
      <x:c r="BE30" s="10" t="n">
        <x:v>0.25</x:v>
      </x:c>
      <x:c r="BF30" s="10" t="n">
        <x:v>0.6</x:v>
      </x:c>
      <x:c r="BG30" s="10" t="n">
        <x:v>0.6</x:v>
      </x:c>
      <x:c r="BH30" s="10" t="n">
        <x:v>0.7403100775193798</x:v>
      </x:c>
      <x:c r="BI30" s="10" t="str">
        <x:v>Common scenario elasticity + issuer SEC CapEx/CFO dependency scale</x:v>
      </x:c>
      <x:c r="BJ30" s="10" t="str">
        <x:v>Modeled estimate using observed inputs + disclosed assumptions</x:v>
      </x:c>
      <x:c r="BK30" s="11" t="b">
        <x:v>0</x:v>
      </x:c>
      <x:c r="BL30" s="11" t="b">
        <x:v>0</x:v>
      </x:c>
      <x:c r="BM30" s="11" t="b">
        <x:v>0</x:v>
      </x:c>
      <x:c r="BN30" s="10" t="str">
        <x:v>Conditional scenario sensitivity; not a forecast or probability</x:v>
      </x:c>
      <x:c r="BO30" s="14" t="n">
        <x:v>106.17814609839984</x:v>
      </x:c>
    </x:row>
    <x:row r="31" ht="18" customHeight="1">
      <x:c r="A31" s="10" t="str">
        <x:v>CAT</x:v>
      </x:c>
      <x:c r="B31" s="10" t="str">
        <x:v>Industrials</x:v>
      </x:c>
      <x:c r="C31" s="10" t="str">
        <x:v>nz_vs_baseline</x:v>
      </x:c>
      <x:c r="D31" s="10" t="str">
        <x:v>Net Zero 2050 vs baseline</x:v>
      </x:c>
      <x:c r="E31" s="10" t="str">
        <x:v>Net Zero vs baseline</x:v>
      </x:c>
      <x:c r="F31" s="10" t="str">
        <x:v>net_zero_2050</x:v>
      </x:c>
      <x:c r="G31" s="10" t="str">
        <x:v>baseline</x:v>
      </x:c>
      <x:c r="H31" s="10" t="n">
        <x:v>2050</x:v>
      </x:c>
      <x:c r="I31" s="10" t="str">
        <x:v>high</x:v>
      </x:c>
      <x:c r="J31" s="11" t="b">
        <x:v>1</x:v>
      </x:c>
      <x:c r="K31" s="10" t="str">
        <x:v>CFP-2026-003-R17-20260804T234500Z</x:v>
      </x:c>
      <x:c r="L3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1" s="14" t="n">
        <x:v>-19.655970575323167</x:v>
      </x:c>
      <x:c r="N31" s="12" t="n">
        <x:v>121641418108.2752</x:v>
      </x:c>
      <x:c r="O31" s="12" t="n">
        <x:v>97731616757.5068</x:v>
      </x:c>
      <x:c r="P31" s="12" t="n">
        <x:v>18326479866.126686</x:v>
      </x:c>
      <x:c r="Q31" s="12" t="n">
        <x:v>12442268444.476397</x:v>
      </x:c>
      <x:c r="R31" s="12" t="n">
        <x:v>-5884211421.65029</x:v>
      </x:c>
      <x:c r="S31" s="12" t="n">
        <x:v>10636693843.707409</x:v>
      </x:c>
      <x:c r="T31" s="14" t="n">
        <x:v>29.315956365237366</x:v>
      </x:c>
      <x:c r="U31" s="14" t="n">
        <x:v>0.5708147427452522</x:v>
      </x:c>
      <x:c r="V31" s="14" t="n">
        <x:v>2.2209302325581395</x:v>
      </x:c>
      <x:c r="W31" s="12" t="n">
        <x:v>5372582840.83771</x:v>
      </x:c>
      <x:c r="X31" s="12" t="n">
        <x:v>104610248.90209149</x:v>
      </x:c>
      <x:c r="Y31" s="12" t="n">
        <x:v>407018331.910488</x:v>
      </x:c>
      <x:c r="Z31" s="14" t="n">
        <x:v>-18.126810213968103</x:v>
      </x:c>
      <x:c r="AA31" s="14" t="n">
        <x:v>-0.5602460827434161</x:v>
      </x:c>
      <x:c r="AB31" s="14" t="n">
        <x:v>-0.9689142786116492</x:v>
      </x:c>
      <x:c r="AC31" s="12" t="n">
        <x:v>302492761.89357424</x:v>
      </x:c>
      <x:c r="AD31" s="12" t="n">
        <x:v>230205888.64694807</x:v>
      </x:c>
      <x:c r="AE31" s="12" t="n">
        <x:v>4839884190.297188</x:v>
      </x:c>
      <x:c r="AF31" s="12" t="n">
        <x:v>2684019.0587860406</x:v>
      </x:c>
      <x:c r="AG31" s="12" t="n">
        <x:v>101926229.84330545</x:v>
      </x:c>
      <x:c r="AH31" s="13" t="n">
        <x:v>680000</x:v>
      </x:c>
      <x:c r="AI31" s="13" t="n">
        <x:v>690000</x:v>
      </x:c>
      <x:c r="AJ31" s="13" t="n">
        <x:v>680000000</x:v>
      </x:c>
      <x:c r="AK31" s="12" t="n">
        <x:v>15140000000</x:v>
      </x:c>
      <x:c r="AL31" s="14" t="n">
        <x:v>0.1250652491518801</x:v>
      </x:c>
      <x:c r="AM31" s="13" t="n">
        <x:v>7</x:v>
      </x:c>
      <x:c r="AN31" s="13" t="n">
        <x:v>7</x:v>
      </x:c>
      <x:c r="AO31" s="14" t="n">
        <x:v>100</x:v>
      </x:c>
      <x:c r="AP31" s="10" t="str">
        <x:v>High</x:v>
      </x:c>
      <x:c r="AQ31" s="10" t="str">
        <x:v>Issuer facility-to-FEMA county match</x:v>
      </x:c>
      <x:c r="AR31" s="14" t="n">
        <x:v>0.1250652491518801</x:v>
      </x:c>
      <x:c r="AS31" s="14" t="n">
        <x:v>6.952114548720453</x:v>
      </x:c>
      <x:c r="AT31" s="14" t="n">
        <x:v>0</x:v>
      </x:c>
      <x:c r="AU31" s="14" t="n">
        <x:v>11.136677389433892</x:v>
      </x:c>
      <x:c r="AV31" s="14" t="n">
        <x:v>2.1999999999999997</x:v>
      </x:c>
      <x:c r="AW31" s="10" t="n">
        <x:v>1</x:v>
      </x:c>
      <x:c r="AX31" s="10" t="n">
        <x:v>0.3</x:v>
      </x:c>
      <x:c r="AY31" s="10" t="n">
        <x:v>0.75</x:v>
      </x:c>
      <x:c r="AZ31" s="10" t="n">
        <x:v>0.016</x:v>
      </x:c>
      <x:c r="BA31" s="10" t="n">
        <x:v>0.01</x:v>
      </x:c>
      <x:c r="BB31" s="10" t="n">
        <x:v>0.3375</x:v>
      </x:c>
      <x:c r="BC31" s="10" t="n">
        <x:v>0.3</x:v>
      </x:c>
      <x:c r="BD31" s="10" t="n">
        <x:v>0.2</x:v>
      </x:c>
      <x:c r="BE31" s="10" t="n">
        <x:v>0.4</x:v>
      </x:c>
      <x:c r="BF31" s="10" t="n">
        <x:v>0.6</x:v>
      </x:c>
      <x:c r="BG31" s="10" t="n">
        <x:v>1</x:v>
      </x:c>
      <x:c r="BH31" s="10" t="n">
        <x:v>0.7403100775193798</x:v>
      </x:c>
      <x:c r="BI31" s="10" t="str">
        <x:v>Common scenario elasticity + issuer SEC CapEx/CFO dependency scale</x:v>
      </x:c>
      <x:c r="BJ31" s="10" t="str">
        <x:v>Modeled estimate using observed inputs + disclosed assumptions</x:v>
      </x:c>
      <x:c r="BK31" s="11" t="b">
        <x:v>0</x:v>
      </x:c>
      <x:c r="BL31" s="11" t="b">
        <x:v>0</x:v>
      </x:c>
      <x:c r="BM31" s="11" t="b">
        <x:v>0</x:v>
      </x:c>
      <x:c r="BN31" s="10" t="str">
        <x:v>Conditional scenario sensitivity; not a forecast or probability</x:v>
      </x:c>
      <x:c r="BO31" s="14" t="n">
        <x:v>124.46475577099454</x:v>
      </x:c>
    </x:row>
    <x:row r="32" ht="18" customHeight="1">
      <x:c r="A32" s="10" t="str">
        <x:v>CVX</x:v>
      </x:c>
      <x:c r="B32" s="10" t="str">
        <x:v>Energy</x:v>
      </x:c>
      <x:c r="C32" s="10" t="str">
        <x:v>nz_vs_baseline</x:v>
      </x:c>
      <x:c r="D32" s="10" t="str">
        <x:v>Net Zero 2050 vs baseline</x:v>
      </x:c>
      <x:c r="E32" s="10" t="str">
        <x:v>Net Zero vs baseline</x:v>
      </x:c>
      <x:c r="F32" s="10" t="str">
        <x:v>net_zero_2050</x:v>
      </x:c>
      <x:c r="G32" s="10" t="str">
        <x:v>baseline</x:v>
      </x:c>
      <x:c r="H32" s="10" t="n">
        <x:v>2050</x:v>
      </x:c>
      <x:c r="I32" s="10" t="str">
        <x:v>low</x:v>
      </x:c>
      <x:c r="J32" s="11" t="b">
        <x:v>1</x:v>
      </x:c>
      <x:c r="K32" s="10" t="str">
        <x:v>CFP-2026-003-R17-20260804T234500Z</x:v>
      </x:c>
      <x:c r="L3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2" s="14" t="n">
        <x:v>-7.5091380482886105</x:v>
      </x:c>
      <x:c r="N32" s="12" t="n">
        <x:v>376652049847.3526</x:v>
      </x:c>
      <x:c r="O32" s="12" t="n">
        <x:v>348368727462.6061</x:v>
      </x:c>
      <x:c r="P32" s="12" t="n">
        <x:v>28339039686.316536</x:v>
      </x:c>
      <x:c r="Q32" s="12" t="n">
        <x:v>26075717663.007214</x:v>
      </x:c>
      <x:c r="R32" s="12" t="n">
        <x:v>-2263322023.3093224</x:v>
      </x:c>
      <x:c r="S32" s="12" t="n">
        <x:v>18142230456.32</x:v>
      </x:c>
      <x:c r="T32" s="14" t="n">
        <x:v>6.75308116421297</x:v>
      </x:c>
      <x:c r="U32" s="14" t="n">
        <x:v>0.17182666622759668</x:v>
      </x:c>
      <x:c r="V32" s="14" t="n">
        <x:v>1.0616790418103066</x:v>
      </x:c>
      <x:c r="W32" s="12" t="n">
        <x:v>1913758351.1754804</x:v>
      </x:c>
      <x:c r="X32" s="12" t="n">
        <x:v>48694027.13391328</x:v>
      </x:c>
      <x:c r="Y32" s="12" t="n">
        <x:v>300869644.9999279</x:v>
      </x:c>
      <x:c r="Z32" s="14" t="n">
        <x:v>-6.739102100451477</x:v>
      </x:c>
      <x:c r="AA32" s="14" t="n">
        <x:v>-0.1309876805524695</x:v>
      </x:c>
      <x:c r="AB32" s="14" t="n">
        <x:v>-0.6390482672846594</x:v>
      </x:c>
      <x:c r="AC32" s="12" t="n">
        <x:v>1835706816.8870957</x:v>
      </x:c>
      <x:c r="AD32" s="12" t="n">
        <x:v>33994570.68309437</x:v>
      </x:c>
      <x:c r="AE32" s="12" t="n">
        <x:v>44056963.6052903</x:v>
      </x:c>
      <x:c r="AF32" s="12" t="n">
        <x:v>33917808.37641271</x:v>
      </x:c>
      <x:c r="AG32" s="12" t="n">
        <x:v>14776218.757500563</x:v>
      </x:c>
      <x:c r="AH32" s="13" t="n">
        <x:v>54000000</x:v>
      </x:c>
      <x:c r="AI32" s="13" t="n">
        <x:v>4000000</x:v>
      </x:c>
      <x:c r="AJ32" s="13" t="n">
        <x:v>432000000</x:v>
      </x:c>
      <x:c r="AK32" s="12" t="n">
        <x:v>219729000000</x:v>
      </x:c>
      <x:c r="AL32" s="14" t="n">
        <x:v>0.31761728843062803</x:v>
      </x:c>
      <x:c r="AM32" s="13" t="n">
        <x:v>34</x:v>
      </x:c>
      <x:c r="AN32" s="13" t="n">
        <x:v>53</x:v>
      </x:c>
      <x:c r="AO32" s="14" t="n">
        <x:v>64.15094339622641</x:v>
      </x:c>
      <x:c r="AP32" s="10" t="str">
        <x:v>Medium</x:v>
      </x:c>
      <x:c r="AQ32" s="10" t="str">
        <x:v>Issuer facility-to-FEMA county match</x:v>
      </x:c>
      <x:c r="AR32" s="14" t="n">
        <x:v>0.31761728843062803</x:v>
      </x:c>
      <x:c r="AS32" s="14" t="n">
        <x:v>6.952114548720453</x:v>
      </x:c>
      <x:c r="AT32" s="14" t="n">
        <x:v>0</x:v>
      </x:c>
      <x:c r="AU32" s="14" t="n">
        <x:v>6.7034090248596065</x:v>
      </x:c>
      <x:c r="AV32" s="14" t="n">
        <x:v>1.7999999999999998</x:v>
      </x:c>
      <x:c r="AW32" s="10" t="n">
        <x:v>0.5</x:v>
      </x:c>
      <x:c r="AX32" s="10" t="n">
        <x:v>0.7</x:v>
      </x:c>
      <x:c r="AY32" s="10" t="n">
        <x:v>0.25</x:v>
      </x:c>
      <x:c r="AZ32" s="10" t="n">
        <x:v>0.0015</x:v>
      </x:c>
      <x:c r="BA32" s="10" t="n">
        <x:v>0.05</x:v>
      </x:c>
      <x:c r="BB32" s="10" t="n">
        <x:v>0.27</x:v>
      </x:c>
      <x:c r="BC32" s="10" t="n">
        <x:v>0.7</x:v>
      </x:c>
      <x:c r="BD32" s="10" t="n">
        <x:v>0.05</x:v>
      </x:c>
      <x:c r="BE32" s="10" t="n">
        <x:v>0.15</x:v>
      </x:c>
      <x:c r="BF32" s="10" t="n">
        <x:v>0.6</x:v>
      </x:c>
      <x:c r="BG32" s="10" t="n">
        <x:v>0.35</x:v>
      </x:c>
      <x:c r="BH32" s="10" t="n">
        <x:v>1.0111228969621968</x:v>
      </x:c>
      <x:c r="BI32" s="10" t="str">
        <x:v>Common scenario elasticity + issuer SEC CapEx/CFO dependency scale</x:v>
      </x:c>
      <x:c r="BJ32" s="10" t="str">
        <x:v>Modeled estimate using observed inputs + disclosed assumptions</x:v>
      </x:c>
      <x:c r="BK32" s="11" t="b">
        <x:v>0</x:v>
      </x:c>
      <x:c r="BL32" s="11" t="b">
        <x:v>0</x:v>
      </x:c>
      <x:c r="BM32" s="11" t="b">
        <x:v>0</x:v>
      </x:c>
      <x:c r="BN32" s="10" t="str">
        <x:v>Conditional scenario sensitivity; not a forecast or probability</x:v>
      </x:c>
      <x:c r="BO32" s="14" t="n">
        <x:v>108.1187891320648</x:v>
      </x:c>
    </x:row>
    <x:row r="33" ht="18" customHeight="1">
      <x:c r="A33" s="10" t="str">
        <x:v>CVX</x:v>
      </x:c>
      <x:c r="B33" s="10" t="str">
        <x:v>Energy</x:v>
      </x:c>
      <x:c r="C33" s="10" t="str">
        <x:v>nz_vs_baseline</x:v>
      </x:c>
      <x:c r="D33" s="10" t="str">
        <x:v>Net Zero 2050 vs baseline</x:v>
      </x:c>
      <x:c r="E33" s="10" t="str">
        <x:v>Net Zero vs baseline</x:v>
      </x:c>
      <x:c r="F33" s="10" t="str">
        <x:v>net_zero_2050</x:v>
      </x:c>
      <x:c r="G33" s="10" t="str">
        <x:v>baseline</x:v>
      </x:c>
      <x:c r="H33" s="10" t="n">
        <x:v>2050</x:v>
      </x:c>
      <x:c r="I33" s="10" t="str">
        <x:v>base</x:v>
      </x:c>
      <x:c r="J33" s="11" t="b">
        <x:v>1</x:v>
      </x:c>
      <x:c r="K33" s="10" t="str">
        <x:v>CFP-2026-003-R17-20260804T234500Z</x:v>
      </x:c>
      <x:c r="L3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3" s="14" t="n">
        <x:v>-25.759684409994566</x:v>
      </x:c>
      <x:c r="N33" s="12" t="n">
        <x:v>376652049847.3526</x:v>
      </x:c>
      <x:c r="O33" s="12" t="n">
        <x:v>279627670482.8992</x:v>
      </x:c>
      <x:c r="P33" s="12" t="n">
        <x:v>28339039686.316536</x:v>
      </x:c>
      <x:c r="Q33" s="12" t="n">
        <x:v>19420567802.233994</x:v>
      </x:c>
      <x:c r="R33" s="12" t="n">
        <x:v>-8918471884.082542</x:v>
      </x:c>
      <x:c r="S33" s="12" t="n">
        <x:v>18142230456.32</x:v>
      </x:c>
      <x:c r="T33" s="14" t="n">
        <x:v>29.144336732345167</x:v>
      </x:c>
      <x:c r="U33" s="14" t="n">
        <x:v>0.5062634390296592</x:v>
      </x:c>
      <x:c r="V33" s="14" t="n">
        <x:v>1.820021214531954</x:v>
      </x:c>
      <x:c r="W33" s="12" t="n">
        <x:v>8259225152.893024</x:v>
      </x:c>
      <x:c r="X33" s="12" t="n">
        <x:v>143470196.90392604</x:v>
      </x:c>
      <x:c r="Y33" s="12" t="n">
        <x:v>515776534.2855907</x:v>
      </x:c>
      <x:c r="Z33" s="14" t="n">
        <x:v>-24.271454708197854</x:v>
      </x:c>
      <x:c r="AA33" s="14" t="n">
        <x:v>-0.3927183864515699</x:v>
      </x:c>
      <x:c r="AB33" s="14" t="n">
        <x:v>-1.095511315345136</x:v>
      </x:c>
      <x:c r="AC33" s="12" t="n">
        <x:v>7725855014.139124</x:v>
      </x:c>
      <x:c r="AD33" s="12" t="n">
        <x:v>286142778.30144906</x:v>
      </x:c>
      <x:c r="AE33" s="12" t="n">
        <x:v>247227360.45245197</x:v>
      </x:c>
      <x:c r="AF33" s="12" t="n">
        <x:v>94216134.37892418</x:v>
      </x:c>
      <x:c r="AG33" s="12" t="n">
        <x:v>49254062.525001876</x:v>
      </x:c>
      <x:c r="AH33" s="13" t="n">
        <x:v>54000000</x:v>
      </x:c>
      <x:c r="AI33" s="13" t="n">
        <x:v>4000000</x:v>
      </x:c>
      <x:c r="AJ33" s="13" t="n">
        <x:v>432000000</x:v>
      </x:c>
      <x:c r="AK33" s="12" t="n">
        <x:v>219729000000</x:v>
      </x:c>
      <x:c r="AL33" s="14" t="n">
        <x:v>0.31761728843062803</x:v>
      </x:c>
      <x:c r="AM33" s="13" t="n">
        <x:v>34</x:v>
      </x:c>
      <x:c r="AN33" s="13" t="n">
        <x:v>53</x:v>
      </x:c>
      <x:c r="AO33" s="14" t="n">
        <x:v>64.15094339622641</x:v>
      </x:c>
      <x:c r="AP33" s="10" t="str">
        <x:v>Medium</x:v>
      </x:c>
      <x:c r="AQ33" s="10" t="str">
        <x:v>Issuer facility-to-FEMA county match</x:v>
      </x:c>
      <x:c r="AR33" s="14" t="n">
        <x:v>0.31761728843062803</x:v>
      </x:c>
      <x:c r="AS33" s="14" t="n">
        <x:v>6.952114548720453</x:v>
      </x:c>
      <x:c r="AT33" s="14" t="n">
        <x:v>0</x:v>
      </x:c>
      <x:c r="AU33" s="14" t="n">
        <x:v>6.7034090248596065</x:v>
      </x:c>
      <x:c r="AV33" s="14" t="n">
        <x:v>1.7999999999999998</x:v>
      </x:c>
      <x:c r="AW33" s="10" t="n">
        <x:v>0.75</x:v>
      </x:c>
      <x:c r="AX33" s="10" t="n">
        <x:v>0.5</x:v>
      </x:c>
      <x:c r="AY33" s="10" t="n">
        <x:v>0.5</x:v>
      </x:c>
      <x:c r="AZ33" s="10" t="n">
        <x:v>0.003</x:v>
      </x:c>
      <x:c r="BA33" s="10" t="n">
        <x:v>0.03</x:v>
      </x:c>
      <x:c r="BB33" s="10" t="n">
        <x:v>0.45</x:v>
      </x:c>
      <x:c r="BC33" s="10" t="n">
        <x:v>0.5</x:v>
      </x:c>
      <x:c r="BD33" s="10" t="n">
        <x:v>0.1</x:v>
      </x:c>
      <x:c r="BE33" s="10" t="n">
        <x:v>0.25</x:v>
      </x:c>
      <x:c r="BF33" s="10" t="n">
        <x:v>0.6</x:v>
      </x:c>
      <x:c r="BG33" s="10" t="n">
        <x:v>0.6</x:v>
      </x:c>
      <x:c r="BH33" s="10" t="n">
        <x:v>1.0111228969621968</x:v>
      </x:c>
      <x:c r="BI33" s="10" t="str">
        <x:v>Common scenario elasticity + issuer SEC CapEx/CFO dependency scale</x:v>
      </x:c>
      <x:c r="BJ33" s="10" t="str">
        <x:v>Modeled estimate using observed inputs + disclosed assumptions</x:v>
      </x:c>
      <x:c r="BK33" s="11" t="b">
        <x:v>0</x:v>
      </x:c>
      <x:c r="BL33" s="11" t="b">
        <x:v>0</x:v>
      </x:c>
      <x:c r="BM33" s="11" t="b">
        <x:v>0</x:v>
      </x:c>
      <x:c r="BN33" s="10" t="str">
        <x:v>Conditional scenario sensitivity; not a forecast or probability</x:v>
      </x:c>
      <x:c r="BO33" s="14" t="n">
        <x:v>134.69770326981535</x:v>
      </x:c>
    </x:row>
    <x:row r="34" ht="18" customHeight="1">
      <x:c r="A34" s="10" t="str">
        <x:v>CVX</x:v>
      </x:c>
      <x:c r="B34" s="10" t="str">
        <x:v>Energy</x:v>
      </x:c>
      <x:c r="C34" s="10" t="str">
        <x:v>nz_vs_baseline</x:v>
      </x:c>
      <x:c r="D34" s="10" t="str">
        <x:v>Net Zero 2050 vs baseline</x:v>
      </x:c>
      <x:c r="E34" s="10" t="str">
        <x:v>Net Zero vs baseline</x:v>
      </x:c>
      <x:c r="F34" s="10" t="str">
        <x:v>net_zero_2050</x:v>
      </x:c>
      <x:c r="G34" s="10" t="str">
        <x:v>baseline</x:v>
      </x:c>
      <x:c r="H34" s="10" t="n">
        <x:v>2050</x:v>
      </x:c>
      <x:c r="I34" s="10" t="str">
        <x:v>high</x:v>
      </x:c>
      <x:c r="J34" s="11" t="b">
        <x:v>1</x:v>
      </x:c>
      <x:c r="K34" s="10" t="str">
        <x:v>CFP-2026-003-R17-20260804T234500Z</x:v>
      </x:c>
      <x:c r="L3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4" s="14" t="n">
        <x:v>-69.9210573929396</x:v>
      </x:c>
      <x:c r="N34" s="12" t="n">
        <x:v>376652049847.3526</x:v>
      </x:c>
      <x:c r="O34" s="12" t="n">
        <x:v>113292953901.90172</x:v>
      </x:c>
      <x:c r="P34" s="12" t="n">
        <x:v>28339039686.316536</x:v>
      </x:c>
      <x:c r="Q34" s="12" t="n">
        <x:v>634688478.1149559</x:v>
      </x:c>
      <x:c r="R34" s="12" t="n">
        <x:v>-27704351208.20158</x:v>
      </x:c>
      <x:c r="S34" s="12" t="n">
        <x:v>18142230456.32</x:v>
      </x:c>
      <x:c r="T34" s="14" t="n">
        <x:v>93.54248573850796</x:v>
      </x:c>
      <x:c r="U34" s="14" t="n">
        <x:v>1.184519651236651</x:v>
      </x:c>
      <x:c r="V34" s="14" t="n">
        <x:v>3.0333686908865904</x:v>
      </x:c>
      <x:c r="W34" s="12" t="n">
        <x:v>26509042157.002758</x:v>
      </x:c>
      <x:c r="X34" s="12" t="n">
        <x:v>335681494.0561727</x:v>
      </x:c>
      <x:c r="Y34" s="12" t="n">
        <x:v>859627557.1426512</x:v>
      </x:c>
      <x:c r="Z34" s="14" t="n">
        <x:v>-67.12609862485698</x:v>
      </x:c>
      <x:c r="AA34" s="14" t="n">
        <x:v>-0.9691065758407355</x:v>
      </x:c>
      <x:c r="AB34" s="14" t="n">
        <x:v>-1.8258521922418773</x:v>
      </x:c>
      <x:c r="AC34" s="12" t="n">
        <x:v>24021484032.725014</x:v>
      </x:c>
      <x:c r="AD34" s="12" t="n">
        <x:v>1334526890.7069452</x:v>
      </x:c>
      <x:c r="AE34" s="12" t="n">
        <x:v>1153031233.5708005</x:v>
      </x:c>
      <x:c r="AF34" s="12" t="n">
        <x:v>178068493.9761667</x:v>
      </x:c>
      <x:c r="AG34" s="12" t="n">
        <x:v>157613000.080006</x:v>
      </x:c>
      <x:c r="AH34" s="13" t="n">
        <x:v>54000000</x:v>
      </x:c>
      <x:c r="AI34" s="13" t="n">
        <x:v>4000000</x:v>
      </x:c>
      <x:c r="AJ34" s="13" t="n">
        <x:v>432000000</x:v>
      </x:c>
      <x:c r="AK34" s="12" t="n">
        <x:v>219729000000</x:v>
      </x:c>
      <x:c r="AL34" s="14" t="n">
        <x:v>0.31761728843062803</x:v>
      </x:c>
      <x:c r="AM34" s="13" t="n">
        <x:v>34</x:v>
      </x:c>
      <x:c r="AN34" s="13" t="n">
        <x:v>53</x:v>
      </x:c>
      <x:c r="AO34" s="14" t="n">
        <x:v>64.15094339622641</x:v>
      </x:c>
      <x:c r="AP34" s="10" t="str">
        <x:v>Medium</x:v>
      </x:c>
      <x:c r="AQ34" s="10" t="str">
        <x:v>Issuer facility-to-FEMA county match</x:v>
      </x:c>
      <x:c r="AR34" s="14" t="n">
        <x:v>0.31761728843062803</x:v>
      </x:c>
      <x:c r="AS34" s="14" t="n">
        <x:v>6.952114548720453</x:v>
      </x:c>
      <x:c r="AT34" s="14" t="n">
        <x:v>0</x:v>
      </x:c>
      <x:c r="AU34" s="14" t="n">
        <x:v>6.7034090248596065</x:v>
      </x:c>
      <x:c r="AV34" s="14" t="n">
        <x:v>1.7999999999999998</x:v>
      </x:c>
      <x:c r="AW34" s="10" t="n">
        <x:v>1</x:v>
      </x:c>
      <x:c r="AX34" s="10" t="n">
        <x:v>0.3</x:v>
      </x:c>
      <x:c r="AY34" s="10" t="n">
        <x:v>0.75</x:v>
      </x:c>
      <x:c r="AZ34" s="10" t="n">
        <x:v>0.006</x:v>
      </x:c>
      <x:c r="BA34" s="10" t="n">
        <x:v>0.01</x:v>
      </x:c>
      <x:c r="BB34" s="10" t="n">
        <x:v>0.6075</x:v>
      </x:c>
      <x:c r="BC34" s="10" t="n">
        <x:v>0.3</x:v>
      </x:c>
      <x:c r="BD34" s="10" t="n">
        <x:v>0.2</x:v>
      </x:c>
      <x:c r="BE34" s="10" t="n">
        <x:v>0.4</x:v>
      </x:c>
      <x:c r="BF34" s="10" t="n">
        <x:v>0.6</x:v>
      </x:c>
      <x:c r="BG34" s="10" t="n">
        <x:v>1</x:v>
      </x:c>
      <x:c r="BH34" s="10" t="n">
        <x:v>1.0111228969621968</x:v>
      </x:c>
      <x:c r="BI34" s="10" t="str">
        <x:v>Common scenario elasticity + issuer SEC CapEx/CFO dependency scale</x:v>
      </x:c>
      <x:c r="BJ34" s="10" t="str">
        <x:v>Modeled estimate using observed inputs + disclosed assumptions</x:v>
      </x:c>
      <x:c r="BK34" s="11" t="b">
        <x:v>0</x:v>
      </x:c>
      <x:c r="BL34" s="11" t="b">
        <x:v>0</x:v>
      </x:c>
      <x:c r="BM34" s="11" t="b">
        <x:v>0</x:v>
      </x:c>
      <x:c r="BN34" s="10" t="str">
        <x:v>Conditional scenario sensitivity; not a forecast or probability</x:v>
      </x:c>
      <x:c r="BO34" s="14" t="n">
        <x:v>332.4584953213319</x:v>
      </x:c>
    </x:row>
    <x:row r="35" ht="18" customHeight="1">
      <x:c r="A35" s="10" t="str">
        <x:v>DE</x:v>
      </x:c>
      <x:c r="B35" s="10" t="str">
        <x:v>Industrials</x:v>
      </x:c>
      <x:c r="C35" s="10" t="str">
        <x:v>nz_vs_baseline</x:v>
      </x:c>
      <x:c r="D35" s="10" t="str">
        <x:v>Net Zero 2050 vs baseline</x:v>
      </x:c>
      <x:c r="E35" s="10" t="str">
        <x:v>Net Zero vs baseline</x:v>
      </x:c>
      <x:c r="F35" s="10" t="str">
        <x:v>net_zero_2050</x:v>
      </x:c>
      <x:c r="G35" s="10" t="str">
        <x:v>baseline</x:v>
      </x:c>
      <x:c r="H35" s="10" t="n">
        <x:v>2050</x:v>
      </x:c>
      <x:c r="I35" s="10" t="str">
        <x:v>low</x:v>
      </x:c>
      <x:c r="J35" s="11" t="b">
        <x:v>1</x:v>
      </x:c>
      <x:c r="K35" s="10" t="str">
        <x:v>CFP-2026-003-R17-20260804T234500Z</x:v>
      </x:c>
      <x:c r="L3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5" s="14" t="n">
        <x:v>-0.7091428227419483</x:v>
      </x:c>
      <x:c r="N35" s="12" t="n">
        <x:v>156035291063.10095</x:v>
      </x:c>
      <x:c r="O35" s="12" t="n">
        <x:v>154928777995.58246</x:v>
      </x:c>
      <x:c r="P35" s="12" t="n">
        <x:v>14871029621.789665</x:v>
      </x:c>
      <x:c r="Q35" s="12" t="n">
        <x:v>14720339765.64397</x:v>
      </x:c>
      <x:c r="R35" s="12" t="n">
        <x:v>-150689856.14569473</x:v>
      </x:c>
      <x:c r="S35" s="12" t="n">
        <x:v>8631149592.456448</x:v>
      </x:c>
      <x:c r="T35" s="14" t="n">
        <x:v>0.2431776230533493</x:v>
      </x:c>
      <x:c r="U35" s="14" t="n">
        <x:v>0.05368732129978147</x:v>
      </x:c>
      <x:c r="V35" s="14" t="n">
        <x:v>0.7164465746078562</x:v>
      </x:c>
      <x:c r="W35" s="12" t="n">
        <x:v>36163016.35782759</x:v>
      </x:c>
      <x:c r="X35" s="12" t="n">
        <x:v>7983857.453635895</x:v>
      </x:c>
      <x:c r="Y35" s="12" t="n">
        <x:v>106542982.33423169</x:v>
      </x:c>
      <x:c r="Z35" s="14" t="n">
        <x:v>-0.25179012558387526</x:v>
      </x:c>
      <x:c r="AA35" s="14" t="n">
        <x:v>-0.05291959891095528</x:v>
      </x:c>
      <x:c r="AB35" s="14" t="n">
        <x:v>-0.40443309824712065</x:v>
      </x:c>
      <x:c r="AC35" s="12" t="n">
        <x:v>12030678.564747097</x:v>
      </x:c>
      <x:c r="AD35" s="12" t="n">
        <x:v>1903695.9582532845</x:v>
      </x:c>
      <x:c r="AE35" s="12" t="n">
        <x:v>22228641.83482721</x:v>
      </x:c>
      <x:c r="AF35" s="12" t="n">
        <x:v>229974.8495286382</x:v>
      </x:c>
      <x:c r="AG35" s="12" t="n">
        <x:v>7753882.604107256</x:v>
      </x:c>
      <x:c r="AH35" s="13" t="n">
        <x:v>353900</x:v>
      </x:c>
      <x:c r="AI35" s="13" t="n">
        <x:v>224000</x:v>
      </x:c>
      <x:c r="AJ35" s="13" t="n">
        <x:v>81736000</x:v>
      </x:c>
      <x:c r="AK35" s="12" t="n">
        <x:v>8079000000</x:v>
      </x:c>
      <x:c r="AL35" s="14" t="n">
        <x:v>0.1054287290454164</x:v>
      </x:c>
      <x:c r="AM35" s="13" t="n">
        <x:v>1</x:v>
      </x:c>
      <x:c r="AN35" s="13" t="n">
        <x:v>1</x:v>
      </x:c>
      <x:c r="AO35" s="14" t="n">
        <x:v>100</x:v>
      </x:c>
      <x:c r="AP35" s="10" t="str">
        <x:v>High</x:v>
      </x:c>
      <x:c r="AQ35" s="10" t="str">
        <x:v>Issuer facility-to-FEMA county match</x:v>
      </x:c>
      <x:c r="AR35" s="14" t="n">
        <x:v>0.1054287290454164</x:v>
      </x:c>
      <x:c r="AS35" s="14" t="n">
        <x:v>6.952114548720453</x:v>
      </x:c>
      <x:c r="AT35" s="14" t="n">
        <x:v>0</x:v>
      </x:c>
      <x:c r="AU35" s="14" t="n">
        <x:v>7.853230639934694</x:v>
      </x:c>
      <x:c r="AV35" s="14" t="n">
        <x:v>2.1999999999999997</x:v>
      </x:c>
      <x:c r="AW35" s="10" t="n">
        <x:v>0.5</x:v>
      </x:c>
      <x:c r="AX35" s="10" t="n">
        <x:v>0.7</x:v>
      </x:c>
      <x:c r="AY35" s="10" t="n">
        <x:v>0.25</x:v>
      </x:c>
      <x:c r="AZ35" s="10" t="n">
        <x:v>0.004</x:v>
      </x:c>
      <x:c r="BA35" s="10" t="n">
        <x:v>0.05</x:v>
      </x:c>
      <x:c r="BB35" s="10" t="n">
        <x:v>0.15</x:v>
      </x:c>
      <x:c r="BC35" s="10" t="n">
        <x:v>0.7</x:v>
      </x:c>
      <x:c r="BD35" s="10" t="n">
        <x:v>0.05</x:v>
      </x:c>
      <x:c r="BE35" s="10" t="n">
        <x:v>0.15</x:v>
      </x:c>
      <x:c r="BF35" s="10" t="n">
        <x:v>0.6</x:v>
      </x:c>
      <x:c r="BG35" s="10" t="n">
        <x:v>0.35</x:v>
      </x:c>
      <x:c r="BH35" s="10" t="n">
        <x:v>0.6823300710551012</x:v>
      </x:c>
      <x:c r="BI35" s="10" t="str">
        <x:v>Common scenario elasticity + issuer SEC CapEx/CFO dependency scale</x:v>
      </x:c>
      <x:c r="BJ35" s="10" t="str">
        <x:v>Modeled estimate using observed inputs + disclosed assumptions</x:v>
      </x:c>
      <x:c r="BK35" s="11" t="b">
        <x:v>0</x:v>
      </x:c>
      <x:c r="BL35" s="11" t="b">
        <x:v>0</x:v>
      </x:c>
      <x:c r="BM35" s="11" t="b">
        <x:v>0</x:v>
      </x:c>
      <x:c r="BN35" s="10" t="str">
        <x:v>Conditional scenario sensitivity; not a forecast or probability</x:v>
      </x:c>
      <x:c r="BO35" s="14" t="n">
        <x:v>100.71420757449596</x:v>
      </x:c>
    </x:row>
    <x:row r="36" ht="18" customHeight="1">
      <x:c r="A36" s="10" t="str">
        <x:v>DE</x:v>
      </x:c>
      <x:c r="B36" s="10" t="str">
        <x:v>Industrials</x:v>
      </x:c>
      <x:c r="C36" s="10" t="str">
        <x:v>nz_vs_baseline</x:v>
      </x:c>
      <x:c r="D36" s="10" t="str">
        <x:v>Net Zero 2050 vs baseline</x:v>
      </x:c>
      <x:c r="E36" s="10" t="str">
        <x:v>Net Zero vs baseline</x:v>
      </x:c>
      <x:c r="F36" s="10" t="str">
        <x:v>net_zero_2050</x:v>
      </x:c>
      <x:c r="G36" s="10" t="str">
        <x:v>baseline</x:v>
      </x:c>
      <x:c r="H36" s="10" t="n">
        <x:v>2050</x:v>
      </x:c>
      <x:c r="I36" s="10" t="str">
        <x:v>base</x:v>
      </x:c>
      <x:c r="J36" s="11" t="b">
        <x:v>1</x:v>
      </x:c>
      <x:c r="K36" s="10" t="str">
        <x:v>CFP-2026-003-R17-20260804T234500Z</x:v>
      </x:c>
      <x:c r="L3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6" s="14" t="n">
        <x:v>-1.9549841909367482</x:v>
      </x:c>
      <x:c r="N36" s="12" t="n">
        <x:v>156035291063.10095</x:v>
      </x:c>
      <x:c r="O36" s="12" t="n">
        <x:v>152984825790.5352</x:v>
      </x:c>
      <x:c r="P36" s="12" t="n">
        <x:v>14871029621.789665</x:v>
      </x:c>
      <x:c r="Q36" s="12" t="n">
        <x:v>14470505568.625896</x:v>
      </x:c>
      <x:c r="R36" s="12" t="n">
        <x:v>-400524053.16376877</x:v>
      </x:c>
      <x:c r="S36" s="12" t="n">
        <x:v>8631149592.456448</x:v>
      </x:c>
      <x:c r="T36" s="14" t="n">
        <x:v>1.2870248468664833</x:v>
      </x:c>
      <x:c r="U36" s="14" t="n">
        <x:v>0.17809859200795042</x:v>
      </x:c>
      <x:c r="V36" s="14" t="n">
        <x:v>1.2281941278991821</x:v>
      </x:c>
      <x:c r="W36" s="12" t="n">
        <x:v>191393846.2173078</x:v>
      </x:c>
      <x:c r="X36" s="12" t="n">
        <x:v>26485094.37349263</x:v>
      </x:c>
      <x:c r="Y36" s="12" t="n">
        <x:v>182645112.57296863</x:v>
      </x:c>
      <x:c r="Z36" s="14" t="n">
        <x:v>-1.0858239995359489</x:v>
      </x:c>
      <x:c r="AA36" s="14" t="n">
        <x:v>-0.17584630869144383</x:v>
      </x:c>
      <x:c r="AB36" s="14" t="n">
        <x:v>-0.6933138827093557</x:v>
      </x:c>
      <x:c r="AC36" s="12" t="n">
        <x:v>50632964.62044141</x:v>
      </x:c>
      <x:c r="AD36" s="12" t="n">
        <x:v>16023995.584881146</x:v>
      </x:c>
      <x:c r="AE36" s="12" t="n">
        <x:v>124736886.01198527</x:v>
      </x:c>
      <x:c r="AF36" s="12" t="n">
        <x:v>638819.0264684393</x:v>
      </x:c>
      <x:c r="AG36" s="12" t="n">
        <x:v>25846275.347024187</x:v>
      </x:c>
      <x:c r="AH36" s="13" t="n">
        <x:v>353900</x:v>
      </x:c>
      <x:c r="AI36" s="13" t="n">
        <x:v>224000</x:v>
      </x:c>
      <x:c r="AJ36" s="13" t="n">
        <x:v>81736000</x:v>
      </x:c>
      <x:c r="AK36" s="12" t="n">
        <x:v>8079000000</x:v>
      </x:c>
      <x:c r="AL36" s="14" t="n">
        <x:v>0.1054287290454164</x:v>
      </x:c>
      <x:c r="AM36" s="13" t="n">
        <x:v>1</x:v>
      </x:c>
      <x:c r="AN36" s="13" t="n">
        <x:v>1</x:v>
      </x:c>
      <x:c r="AO36" s="14" t="n">
        <x:v>100</x:v>
      </x:c>
      <x:c r="AP36" s="10" t="str">
        <x:v>High</x:v>
      </x:c>
      <x:c r="AQ36" s="10" t="str">
        <x:v>Issuer facility-to-FEMA county match</x:v>
      </x:c>
      <x:c r="AR36" s="14" t="n">
        <x:v>0.1054287290454164</x:v>
      </x:c>
      <x:c r="AS36" s="14" t="n">
        <x:v>6.952114548720453</x:v>
      </x:c>
      <x:c r="AT36" s="14" t="n">
        <x:v>0</x:v>
      </x:c>
      <x:c r="AU36" s="14" t="n">
        <x:v>7.853230639934694</x:v>
      </x:c>
      <x:c r="AV36" s="14" t="n">
        <x:v>2.1999999999999997</x:v>
      </x:c>
      <x:c r="AW36" s="10" t="n">
        <x:v>0.75</x:v>
      </x:c>
      <x:c r="AX36" s="10" t="n">
        <x:v>0.5</x:v>
      </x:c>
      <x:c r="AY36" s="10" t="n">
        <x:v>0.5</x:v>
      </x:c>
      <x:c r="AZ36" s="10" t="n">
        <x:v>0.008</x:v>
      </x:c>
      <x:c r="BA36" s="10" t="n">
        <x:v>0.03</x:v>
      </x:c>
      <x:c r="BB36" s="10" t="n">
        <x:v>0.25</x:v>
      </x:c>
      <x:c r="BC36" s="10" t="n">
        <x:v>0.5</x:v>
      </x:c>
      <x:c r="BD36" s="10" t="n">
        <x:v>0.1</x:v>
      </x:c>
      <x:c r="BE36" s="10" t="n">
        <x:v>0.25</x:v>
      </x:c>
      <x:c r="BF36" s="10" t="n">
        <x:v>0.6</x:v>
      </x:c>
      <x:c r="BG36" s="10" t="n">
        <x:v>0.6</x:v>
      </x:c>
      <x:c r="BH36" s="10" t="n">
        <x:v>0.6823300710551012</x:v>
      </x:c>
      <x:c r="BI36" s="10" t="str">
        <x:v>Common scenario elasticity + issuer SEC CapEx/CFO dependency scale</x:v>
      </x:c>
      <x:c r="BJ36" s="10" t="str">
        <x:v>Modeled estimate using observed inputs + disclosed assumptions</x:v>
      </x:c>
      <x:c r="BK36" s="11" t="b">
        <x:v>0</x:v>
      </x:c>
      <x:c r="BL36" s="11" t="b">
        <x:v>0</x:v>
      </x:c>
      <x:c r="BM36" s="11" t="b">
        <x:v>0</x:v>
      </x:c>
      <x:c r="BN36" s="10" t="str">
        <x:v>Conditional scenario sensitivity; not a forecast or probability</x:v>
      </x:c>
      <x:c r="BO36" s="14" t="n">
        <x:v>101.99396590923496</x:v>
      </x:c>
    </x:row>
    <x:row r="37" ht="18" customHeight="1">
      <x:c r="A37" s="10" t="str">
        <x:v>DE</x:v>
      </x:c>
      <x:c r="B37" s="10" t="str">
        <x:v>Industrials</x:v>
      </x:c>
      <x:c r="C37" s="10" t="str">
        <x:v>nz_vs_baseline</x:v>
      </x:c>
      <x:c r="D37" s="10" t="str">
        <x:v>Net Zero 2050 vs baseline</x:v>
      </x:c>
      <x:c r="E37" s="10" t="str">
        <x:v>Net Zero vs baseline</x:v>
      </x:c>
      <x:c r="F37" s="10" t="str">
        <x:v>net_zero_2050</x:v>
      </x:c>
      <x:c r="G37" s="10" t="str">
        <x:v>baseline</x:v>
      </x:c>
      <x:c r="H37" s="10" t="n">
        <x:v>2050</x:v>
      </x:c>
      <x:c r="I37" s="10" t="str">
        <x:v>high</x:v>
      </x:c>
      <x:c r="J37" s="11" t="b">
        <x:v>1</x:v>
      </x:c>
      <x:c r="K37" s="10" t="str">
        <x:v>CFP-2026-003-R17-20260804T234500Z</x:v>
      </x:c>
      <x:c r="L3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7" s="14" t="n">
        <x:v>-5.604546374964647</x:v>
      </x:c>
      <x:c r="N37" s="12" t="n">
        <x:v>156035291063.10095</x:v>
      </x:c>
      <x:c r="O37" s="12" t="n">
        <x:v>147290220814.1584</x:v>
      </x:c>
      <x:c r="P37" s="12" t="n">
        <x:v>14871029621.789665</x:v>
      </x:c>
      <x:c r="Q37" s="12" t="n">
        <x:v>13668788377.337173</x:v>
      </x:c>
      <x:c r="R37" s="12" t="n">
        <x:v>-1202241244.4524918</x:v>
      </x:c>
      <x:c r="S37" s="12" t="n">
        <x:v>8631149592.456448</x:v>
      </x:c>
      <x:c r="T37" s="14" t="n">
        <x:v>5.473173647872062</x:v>
      </x:c>
      <x:c r="U37" s="14" t="n">
        <x:v>0.5642880903656212</x:v>
      </x:c>
      <x:c r="V37" s="14" t="n">
        <x:v>2.0469902131653037</x:v>
      </x:c>
      <x:c r="W37" s="12" t="n">
        <x:v>813917274.4270403</x:v>
      </x:c>
      <x:c r="X37" s="12" t="n">
        <x:v>83915449.07050277</x:v>
      </x:c>
      <x:c r="Y37" s="12" t="n">
        <x:v>304408520.9549477</x:v>
      </x:c>
      <x:c r="Z37" s="14" t="n">
        <x:v>-3.8899329702633203</x:v>
      </x:c>
      <x:c r="AA37" s="14" t="n">
        <x:v>-0.5590902668524088</x:v>
      </x:c>
      <x:c r="AB37" s="14" t="n">
        <x:v>-1.1555231378489208</x:v>
      </x:c>
      <x:c r="AC37" s="12" t="n">
        <x:v>157429688.87372932</x:v>
      </x:c>
      <x:c r="AD37" s="12" t="n">
        <x:v>74733505.87958893</x:v>
      </x:c>
      <x:c r="AE37" s="12" t="n">
        <x:v>581754079.673722</x:v>
      </x:c>
      <x:c r="AF37" s="12" t="n">
        <x:v>1207367.96002535</x:v>
      </x:c>
      <x:c r="AG37" s="12" t="n">
        <x:v>82708081.11047742</x:v>
      </x:c>
      <x:c r="AH37" s="13" t="n">
        <x:v>353900</x:v>
      </x:c>
      <x:c r="AI37" s="13" t="n">
        <x:v>224000</x:v>
      </x:c>
      <x:c r="AJ37" s="13" t="n">
        <x:v>81736000</x:v>
      </x:c>
      <x:c r="AK37" s="12" t="n">
        <x:v>8079000000</x:v>
      </x:c>
      <x:c r="AL37" s="14" t="n">
        <x:v>0.1054287290454164</x:v>
      </x:c>
      <x:c r="AM37" s="13" t="n">
        <x:v>1</x:v>
      </x:c>
      <x:c r="AN37" s="13" t="n">
        <x:v>1</x:v>
      </x:c>
      <x:c r="AO37" s="14" t="n">
        <x:v>100</x:v>
      </x:c>
      <x:c r="AP37" s="10" t="str">
        <x:v>High</x:v>
      </x:c>
      <x:c r="AQ37" s="10" t="str">
        <x:v>Issuer facility-to-FEMA county match</x:v>
      </x:c>
      <x:c r="AR37" s="14" t="n">
        <x:v>0.1054287290454164</x:v>
      </x:c>
      <x:c r="AS37" s="14" t="n">
        <x:v>6.952114548720453</x:v>
      </x:c>
      <x:c r="AT37" s="14" t="n">
        <x:v>0</x:v>
      </x:c>
      <x:c r="AU37" s="14" t="n">
        <x:v>7.853230639934694</x:v>
      </x:c>
      <x:c r="AV37" s="14" t="n">
        <x:v>2.1999999999999997</x:v>
      </x:c>
      <x:c r="AW37" s="10" t="n">
        <x:v>1</x:v>
      </x:c>
      <x:c r="AX37" s="10" t="n">
        <x:v>0.3</x:v>
      </x:c>
      <x:c r="AY37" s="10" t="n">
        <x:v>0.75</x:v>
      </x:c>
      <x:c r="AZ37" s="10" t="n">
        <x:v>0.016</x:v>
      </x:c>
      <x:c r="BA37" s="10" t="n">
        <x:v>0.01</x:v>
      </x:c>
      <x:c r="BB37" s="10" t="n">
        <x:v>0.3375</x:v>
      </x:c>
      <x:c r="BC37" s="10" t="n">
        <x:v>0.3</x:v>
      </x:c>
      <x:c r="BD37" s="10" t="n">
        <x:v>0.2</x:v>
      </x:c>
      <x:c r="BE37" s="10" t="n">
        <x:v>0.4</x:v>
      </x:c>
      <x:c r="BF37" s="10" t="n">
        <x:v>0.6</x:v>
      </x:c>
      <x:c r="BG37" s="10" t="n">
        <x:v>1</x:v>
      </x:c>
      <x:c r="BH37" s="10" t="n">
        <x:v>0.6823300710551012</x:v>
      </x:c>
      <x:c r="BI37" s="10" t="str">
        <x:v>Common scenario elasticity + issuer SEC CapEx/CFO dependency scale</x:v>
      </x:c>
      <x:c r="BJ37" s="10" t="str">
        <x:v>Modeled estimate using observed inputs + disclosed assumptions</x:v>
      </x:c>
      <x:c r="BK37" s="11" t="b">
        <x:v>0</x:v>
      </x:c>
      <x:c r="BL37" s="11" t="b">
        <x:v>0</x:v>
      </x:c>
      <x:c r="BM37" s="11" t="b">
        <x:v>0</x:v>
      </x:c>
      <x:c r="BN37" s="10" t="str">
        <x:v>Conditional scenario sensitivity; not a forecast or probability</x:v>
      </x:c>
      <x:c r="BO37" s="14" t="n">
        <x:v>105.9373054100968</x:v>
      </x:c>
    </x:row>
    <x:row r="38" ht="18" customHeight="1">
      <x:c r="A38" s="10" t="str">
        <x:v>DUK</x:v>
      </x:c>
      <x:c r="B38" s="10" t="str">
        <x:v>Utilities</x:v>
      </x:c>
      <x:c r="C38" s="10" t="str">
        <x:v>nz_vs_baseline</x:v>
      </x:c>
      <x:c r="D38" s="10" t="str">
        <x:v>Net Zero 2050 vs baseline</x:v>
      </x:c>
      <x:c r="E38" s="10" t="str">
        <x:v>Net Zero vs baseline</x:v>
      </x:c>
      <x:c r="F38" s="10" t="str">
        <x:v>net_zero_2050</x:v>
      </x:c>
      <x:c r="G38" s="10" t="str">
        <x:v>baseline</x:v>
      </x:c>
      <x:c r="H38" s="10" t="n">
        <x:v>2050</x:v>
      </x:c>
      <x:c r="I38" s="10" t="str">
        <x:v>low</x:v>
      </x:c>
      <x:c r="J38" s="11" t="b">
        <x:v>1</x:v>
      </x:c>
      <x:c r="K38" s="10" t="str">
        <x:v>CFP-2026-003-R17-20260804T234500Z</x:v>
      </x:c>
      <x:c r="L3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8" s="14" t="n">
        <x:v>-97.45902133993421</x:v>
      </x:c>
      <x:c r="N38" s="12" t="n">
        <x:v>50132194683.06894</x:v>
      </x:c>
      <x:c r="O38" s="12" t="n">
        <x:v>1273848368.719422</x:v>
      </x:c>
      <x:c r="P38" s="12" t="n">
        <x:v>2512681140.1064544</x:v>
      </x:c>
      <x:c r="Q38" s="12" t="n">
        <x:v>0</x:v>
      </x:c>
      <x:c r="R38" s="12" t="n">
        <x:v>-2512681140.1064544</x:v>
      </x:c>
      <x:c r="S38" s="12" t="n">
        <x:v>1531556722.6890755</x:v>
      </x:c>
      <x:c r="T38" s="14" t="n">
        <x:v>108.17616890575026</x:v>
      </x:c>
      <x:c r="U38" s="14" t="n">
        <x:v>0.689932556712791</x:v>
      </x:c>
      <x:c r="V38" s="14" t="n">
        <x:v>1.7192579075425791</x:v>
      </x:c>
      <x:c r="W38" s="12" t="n">
        <x:v>2718122194.1844893</x:v>
      </x:c>
      <x:c r="X38" s="12" t="n">
        <x:v>17335805.231976565</x:v>
      </x:c>
      <x:c r="Y38" s="12" t="n">
        <x:v>43199469.19261125</x:v>
      </x:c>
      <x:c r="Z38" s="14" t="n">
        <x:v>-96.56469415151828</x:v>
      </x:c>
      <x:c r="AA38" s="14" t="n">
        <x:v>-0.27517120475203327</x:v>
      </x:c>
      <x:c r="AB38" s="14" t="n">
        <x:v>-0.6191559836638749</x:v>
      </x:c>
      <x:c r="AC38" s="12" t="n">
        <x:v>2711270979.400874</x:v>
      </x:c>
      <x:c r="AD38" s="12" t="n">
        <x:v>2158655.238376492</x:v>
      </x:c>
      <x:c r="AE38" s="12" t="n">
        <x:v>4692559.545238322</x:v>
      </x:c>
      <x:c r="AF38" s="12" t="n">
        <x:v>16025671.698694346</x:v>
      </x:c>
      <x:c r="AG38" s="12" t="n">
        <x:v>1310133.5332822183</x:v>
      </x:c>
      <x:c r="AH38" s="13" t="n">
        <x:v>79756000</x:v>
      </x:c>
      <x:c r="AI38" s="13" t="n">
        <x:v>254000</x:v>
      </x:c>
      <x:c r="AJ38" s="13" t="n">
        <x:v>27607700</x:v>
      </x:c>
      <x:c r="AK38" s="12" t="n">
        <x:v>129959000000</x:v>
      </x:c>
      <x:c r="AL38" s="14" t="n">
        <x:v>0.17565995555046018</x:v>
      </x:c>
      <x:c r="AM38" s="13" t="n">
        <x:v>48</x:v>
      </x:c>
      <x:c r="AN38" s="13" t="n">
        <x:v>49</x:v>
      </x:c>
      <x:c r="AO38" s="14" t="n">
        <x:v>97.95918367346938</x:v>
      </x:c>
      <x:c r="AP38" s="10" t="str">
        <x:v>High</x:v>
      </x:c>
      <x:c r="AQ38" s="10" t="str">
        <x:v>Issuer facility-to-FEMA county match</x:v>
      </x:c>
      <x:c r="AR38" s="14" t="n">
        <x:v>0.17565995555046018</x:v>
      </x:c>
      <x:c r="AS38" s="14" t="n">
        <x:v>6.952114548720453</x:v>
      </x:c>
      <x:c r="AT38" s="14" t="n">
        <x:v>0</x:v>
      </x:c>
      <x:c r="AU38" s="14" t="n">
        <x:v>5.116136979477691</x:v>
      </x:c>
      <x:c r="AV38" s="14" t="n">
        <x:v>2</x:v>
      </x:c>
      <x:c r="AW38" s="10" t="n">
        <x:v>0.5</x:v>
      </x:c>
      <x:c r="AX38" s="10" t="n">
        <x:v>0.7</x:v>
      </x:c>
      <x:c r="AY38" s="10" t="n">
        <x:v>0.25</x:v>
      </x:c>
      <x:c r="AZ38" s="10" t="n">
        <x:v>0.0025</x:v>
      </x:c>
      <x:c r="BA38" s="10" t="n">
        <x:v>0.05</x:v>
      </x:c>
      <x:c r="BB38" s="10" t="n">
        <x:v>0.39</x:v>
      </x:c>
      <x:c r="BC38" s="10" t="n">
        <x:v>0.7</x:v>
      </x:c>
      <x:c r="BD38" s="10" t="n">
        <x:v>0.05</x:v>
      </x:c>
      <x:c r="BE38" s="10" t="n">
        <x:v>0.15</x:v>
      </x:c>
      <x:c r="BF38" s="10" t="n">
        <x:v>0.6</x:v>
      </x:c>
      <x:c r="BG38" s="10" t="n">
        <x:v>0.35</x:v>
      </x:c>
      <x:c r="BH38" s="10" t="n">
        <x:v>1.6373884833738848</x:v>
      </x:c>
      <x:c r="BI38" s="10" t="str">
        <x:v>Common scenario elasticity + issuer SEC CapEx/CFO dependency scale</x:v>
      </x:c>
      <x:c r="BJ38" s="10" t="str">
        <x:v>Modeled estimate using observed inputs + disclosed assumptions</x:v>
      </x:c>
      <x:c r="BK38" s="11" t="b">
        <x:v>0</x:v>
      </x:c>
      <x:c r="BL38" s="11" t="b">
        <x:v>0</x:v>
      </x:c>
      <x:c r="BM38" s="11" t="b">
        <x:v>0</x:v>
      </x:c>
      <x:c r="BN38" s="10" t="str">
        <x:v>Conditional scenario sensitivity; not a forecast or probability</x:v>
      </x:c>
      <x:c r="BO38" s="14" t="n">
        <x:v>3935.491532125285</x:v>
      </x:c>
    </x:row>
    <x:row r="39" ht="18" customHeight="1">
      <x:c r="A39" s="10" t="str">
        <x:v>DUK</x:v>
      </x:c>
      <x:c r="B39" s="10" t="str">
        <x:v>Utilities</x:v>
      </x:c>
      <x:c r="C39" s="10" t="str">
        <x:v>nz_vs_baseline</x:v>
      </x:c>
      <x:c r="D39" s="10" t="str">
        <x:v>Net Zero 2050 vs baseline</x:v>
      </x:c>
      <x:c r="E39" s="10" t="str">
        <x:v>Net Zero vs baseline</x:v>
      </x:c>
      <x:c r="F39" s="10" t="str">
        <x:v>net_zero_2050</x:v>
      </x:c>
      <x:c r="G39" s="10" t="str">
        <x:v>baseline</x:v>
      </x:c>
      <x:c r="H39" s="10" t="n">
        <x:v>2050</x:v>
      </x:c>
      <x:c r="I39" s="10" t="str">
        <x:v>base</x:v>
      </x:c>
      <x:c r="J39" s="11" t="b">
        <x:v>1</x:v>
      </x:c>
      <x:c r="K39" s="10" t="str">
        <x:v>CFP-2026-003-R17-20260804T234500Z</x:v>
      </x:c>
      <x:c r="L3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39" s="14" t="n">
        <x:v>-100</x:v>
      </x:c>
      <x:c r="N39" s="12" t="n">
        <x:v>50132194683.06894</x:v>
      </x:c>
      <x:c r="O39" s="12" t="n">
        <x:v>0</x:v>
      </x:c>
      <x:c r="P39" s="12" t="n">
        <x:v>2512681140.1064544</x:v>
      </x:c>
      <x:c r="Q39" s="12" t="n">
        <x:v>0</x:v>
      </x:c>
      <x:c r="R39" s="12" t="n">
        <x:v>-2512681140.1064544</x:v>
      </x:c>
      <x:c r="S39" s="12" t="n">
        <x:v>1531556722.6890755</x:v>
      </x:c>
      <x:c r="T39" s="14" t="n">
        <x:v>455.8996394973159</x:v>
      </x:c>
      <x:c r="U39" s="14" t="n">
        <x:v>1.9454464681551982</x:v>
      </x:c>
      <x:c r="V39" s="14" t="n">
        <x:v>2.947299270072993</x:v>
      </x:c>
      <x:c r="W39" s="12" t="n">
        <x:v>11455304259.462372</x:v>
      </x:c>
      <x:c r="X39" s="12" t="n">
        <x:v>48882866.49620279</x:v>
      </x:c>
      <x:c r="Y39" s="12" t="n">
        <x:v>74056232.90161929</x:v>
      </x:c>
      <x:c r="Z39" s="14" t="n">
        <x:v>-98.18544184902251</x:v>
      </x:c>
      <x:c r="AA39" s="14" t="n">
        <x:v>-0.7632227007975809</x:v>
      </x:c>
      <x:c r="AB39" s="14" t="n">
        <x:v>-1.0513354501799212</x:v>
      </x:c>
      <x:c r="AC39" s="12" t="n">
        <x:v>11410801713.105186</x:v>
      </x:c>
      <x:c r="AD39" s="12" t="n">
        <x:v>18170066.422142014</x:v>
      </x:c>
      <x:c r="AE39" s="12" t="n">
        <x:v>26332479.935043048</x:v>
      </x:c>
      <x:c r="AF39" s="12" t="n">
        <x:v>44515754.71859539</x:v>
      </x:c>
      <x:c r="AG39" s="12" t="n">
        <x:v>4367111.777607394</x:v>
      </x:c>
      <x:c r="AH39" s="13" t="n">
        <x:v>79756000</x:v>
      </x:c>
      <x:c r="AI39" s="13" t="n">
        <x:v>254000</x:v>
      </x:c>
      <x:c r="AJ39" s="13" t="n">
        <x:v>27607700</x:v>
      </x:c>
      <x:c r="AK39" s="12" t="n">
        <x:v>129959000000</x:v>
      </x:c>
      <x:c r="AL39" s="14" t="n">
        <x:v>0.17565995555046018</x:v>
      </x:c>
      <x:c r="AM39" s="13" t="n">
        <x:v>48</x:v>
      </x:c>
      <x:c r="AN39" s="13" t="n">
        <x:v>49</x:v>
      </x:c>
      <x:c r="AO39" s="14" t="n">
        <x:v>97.95918367346938</x:v>
      </x:c>
      <x:c r="AP39" s="10" t="str">
        <x:v>High</x:v>
      </x:c>
      <x:c r="AQ39" s="10" t="str">
        <x:v>Issuer facility-to-FEMA county match</x:v>
      </x:c>
      <x:c r="AR39" s="14" t="n">
        <x:v>0.17565995555046018</x:v>
      </x:c>
      <x:c r="AS39" s="14" t="n">
        <x:v>6.952114548720453</x:v>
      </x:c>
      <x:c r="AT39" s="14" t="n">
        <x:v>0</x:v>
      </x:c>
      <x:c r="AU39" s="14" t="n">
        <x:v>5.116136979477691</x:v>
      </x:c>
      <x:c r="AV39" s="14" t="n">
        <x:v>2</x:v>
      </x:c>
      <x:c r="AW39" s="10" t="n">
        <x:v>0.75</x:v>
      </x:c>
      <x:c r="AX39" s="10" t="n">
        <x:v>0.5</x:v>
      </x:c>
      <x:c r="AY39" s="10" t="n">
        <x:v>0.5</x:v>
      </x:c>
      <x:c r="AZ39" s="10" t="n">
        <x:v>0.005</x:v>
      </x:c>
      <x:c r="BA39" s="10" t="n">
        <x:v>0.03</x:v>
      </x:c>
      <x:c r="BB39" s="10" t="n">
        <x:v>0.65</x:v>
      </x:c>
      <x:c r="BC39" s="10" t="n">
        <x:v>0.5</x:v>
      </x:c>
      <x:c r="BD39" s="10" t="n">
        <x:v>0.1</x:v>
      </x:c>
      <x:c r="BE39" s="10" t="n">
        <x:v>0.25</x:v>
      </x:c>
      <x:c r="BF39" s="10" t="n">
        <x:v>0.6</x:v>
      </x:c>
      <x:c r="BG39" s="10" t="n">
        <x:v>0.6</x:v>
      </x:c>
      <x:c r="BH39" s="10" t="n">
        <x:v>1.6373884833738848</x:v>
      </x:c>
      <x:c r="BI39" s="10" t="str">
        <x:v>Common scenario elasticity + issuer SEC CapEx/CFO dependency scale</x:v>
      </x:c>
      <x:c r="BJ39" s="10" t="str">
        <x:v>Modeled estimate using observed inputs + disclosed assumptions</x:v>
      </x:c>
      <x:c r="BK39" s="11" t="b">
        <x:v>1</x:v>
      </x:c>
      <x:c r="BL39" s="11" t="b">
        <x:v>0</x:v>
      </x:c>
      <x:c r="BM39" s="11" t="b">
        <x:v>1</x:v>
      </x:c>
      <x:c r="BN39" s="10" t="str">
        <x:v>Target EV hit the model zero-value floor; boundary stress result</x:v>
      </x:c>
      <x:c r="BO39" s="14"/>
    </x:row>
    <x:row r="40" ht="18" customHeight="1">
      <x:c r="A40" s="10" t="str">
        <x:v>DUK</x:v>
      </x:c>
      <x:c r="B40" s="10" t="str">
        <x:v>Utilities</x:v>
      </x:c>
      <x:c r="C40" s="10" t="str">
        <x:v>nz_vs_baseline</x:v>
      </x:c>
      <x:c r="D40" s="10" t="str">
        <x:v>Net Zero 2050 vs baseline</x:v>
      </x:c>
      <x:c r="E40" s="10" t="str">
        <x:v>Net Zero vs baseline</x:v>
      </x:c>
      <x:c r="F40" s="10" t="str">
        <x:v>net_zero_2050</x:v>
      </x:c>
      <x:c r="G40" s="10" t="str">
        <x:v>baseline</x:v>
      </x:c>
      <x:c r="H40" s="10" t="n">
        <x:v>2050</x:v>
      </x:c>
      <x:c r="I40" s="10" t="str">
        <x:v>high</x:v>
      </x:c>
      <x:c r="J40" s="11" t="b">
        <x:v>1</x:v>
      </x:c>
      <x:c r="K40" s="10" t="str">
        <x:v>CFP-2026-003-R17-20260804T234500Z</x:v>
      </x:c>
      <x:c r="L4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0" s="14" t="n">
        <x:v>-100</x:v>
      </x:c>
      <x:c r="N40" s="12" t="n">
        <x:v>50132194683.06894</x:v>
      </x:c>
      <x:c r="O40" s="12" t="n">
        <x:v>0</x:v>
      </x:c>
      <x:c r="P40" s="12" t="n">
        <x:v>2512681140.1064544</x:v>
      </x:c>
      <x:c r="Q40" s="12" t="n">
        <x:v>0</x:v>
      </x:c>
      <x:c r="R40" s="12" t="n">
        <x:v>-2512681140.1064544</x:v>
      </x:c>
      <x:c r="S40" s="12" t="n">
        <x:v>1531556722.6890755</x:v>
      </x:c>
      <x:c r="T40" s="14" t="n">
        <x:v>1420.251652567063</x:v>
      </x:c>
      <x:c r="U40" s="14" t="n">
        <x:v>3.9045755762839187</x:v>
      </x:c>
      <x:c r="V40" s="14" t="n">
        <x:v>4.9121654501216545</x:v>
      </x:c>
      <x:c r="W40" s="12" t="n">
        <x:v>35686395416.10284</x:v>
      </x:c>
      <x:c r="X40" s="12" t="n">
        <x:v>98109534.10648894</x:v>
      </x:c>
      <x:c r="Y40" s="12" t="n">
        <x:v>123427054.83603214</x:v>
      </x:c>
      <x:c r="Z40" s="14" t="n">
        <x:v>-96.69169126006398</x:v>
      </x:c>
      <x:c r="AA40" s="14" t="n">
        <x:v>-1.5560829896361414</x:v>
      </x:c>
      <x:c r="AB40" s="14" t="n">
        <x:v>-1.7522257502998777</x:v>
      </x:c>
      <x:c r="AC40" s="12" t="n">
        <x:v>35478842231.74104</x:v>
      </x:c>
      <x:c r="AD40" s="12" t="n">
        <x:v>84742457.55989103</x:v>
      </x:c>
      <x:c r="AE40" s="12" t="n">
        <x:v>122810726.80190045</x:v>
      </x:c>
      <x:c r="AF40" s="12" t="n">
        <x:v>84134776.41814528</x:v>
      </x:c>
      <x:c r="AG40" s="12" t="n">
        <x:v>13974757.688343663</x:v>
      </x:c>
      <x:c r="AH40" s="13" t="n">
        <x:v>79756000</x:v>
      </x:c>
      <x:c r="AI40" s="13" t="n">
        <x:v>254000</x:v>
      </x:c>
      <x:c r="AJ40" s="13" t="n">
        <x:v>27607700</x:v>
      </x:c>
      <x:c r="AK40" s="12" t="n">
        <x:v>129959000000</x:v>
      </x:c>
      <x:c r="AL40" s="14" t="n">
        <x:v>0.17565995555046018</x:v>
      </x:c>
      <x:c r="AM40" s="13" t="n">
        <x:v>48</x:v>
      </x:c>
      <x:c r="AN40" s="13" t="n">
        <x:v>49</x:v>
      </x:c>
      <x:c r="AO40" s="14" t="n">
        <x:v>97.95918367346938</x:v>
      </x:c>
      <x:c r="AP40" s="10" t="str">
        <x:v>High</x:v>
      </x:c>
      <x:c r="AQ40" s="10" t="str">
        <x:v>Issuer facility-to-FEMA county match</x:v>
      </x:c>
      <x:c r="AR40" s="14" t="n">
        <x:v>0.17565995555046018</x:v>
      </x:c>
      <x:c r="AS40" s="14" t="n">
        <x:v>6.952114548720453</x:v>
      </x:c>
      <x:c r="AT40" s="14" t="n">
        <x:v>0</x:v>
      </x:c>
      <x:c r="AU40" s="14" t="n">
        <x:v>5.116136979477691</x:v>
      </x:c>
      <x:c r="AV40" s="14" t="n">
        <x:v>2</x:v>
      </x:c>
      <x:c r="AW40" s="10" t="n">
        <x:v>1</x:v>
      </x:c>
      <x:c r="AX40" s="10" t="n">
        <x:v>0.3</x:v>
      </x:c>
      <x:c r="AY40" s="10" t="n">
        <x:v>0.75</x:v>
      </x:c>
      <x:c r="AZ40" s="10" t="n">
        <x:v>0.01</x:v>
      </x:c>
      <x:c r="BA40" s="10" t="n">
        <x:v>0.01</x:v>
      </x:c>
      <x:c r="BB40" s="10" t="n">
        <x:v>0.8775000000000001</x:v>
      </x:c>
      <x:c r="BC40" s="10" t="n">
        <x:v>0.3</x:v>
      </x:c>
      <x:c r="BD40" s="10" t="n">
        <x:v>0.2</x:v>
      </x:c>
      <x:c r="BE40" s="10" t="n">
        <x:v>0.4</x:v>
      </x:c>
      <x:c r="BF40" s="10" t="n">
        <x:v>0.6</x:v>
      </x:c>
      <x:c r="BG40" s="10" t="n">
        <x:v>1</x:v>
      </x:c>
      <x:c r="BH40" s="10" t="n">
        <x:v>1.6373884833738848</x:v>
      </x:c>
      <x:c r="BI40" s="10" t="str">
        <x:v>Common scenario elasticity + issuer SEC CapEx/CFO dependency scale</x:v>
      </x:c>
      <x:c r="BJ40" s="10" t="str">
        <x:v>Modeled estimate using observed inputs + disclosed assumptions</x:v>
      </x:c>
      <x:c r="BK40" s="11" t="b">
        <x:v>1</x:v>
      </x:c>
      <x:c r="BL40" s="11" t="b">
        <x:v>0</x:v>
      </x:c>
      <x:c r="BM40" s="11" t="b">
        <x:v>1</x:v>
      </x:c>
      <x:c r="BN40" s="10" t="str">
        <x:v>Target EV hit the model zero-value floor; boundary stress result</x:v>
      </x:c>
      <x:c r="BO40" s="14"/>
    </x:row>
    <x:row r="41" ht="18" customHeight="1">
      <x:c r="A41" s="10" t="str">
        <x:v>MSFT</x:v>
      </x:c>
      <x:c r="B41" s="10" t="str">
        <x:v>Technology</x:v>
      </x:c>
      <x:c r="C41" s="10" t="str">
        <x:v>nz_vs_baseline</x:v>
      </x:c>
      <x:c r="D41" s="10" t="str">
        <x:v>Net Zero 2050 vs baseline</x:v>
      </x:c>
      <x:c r="E41" s="10" t="str">
        <x:v>Net Zero vs baseline</x:v>
      </x:c>
      <x:c r="F41" s="10" t="str">
        <x:v>net_zero_2050</x:v>
      </x:c>
      <x:c r="G41" s="10" t="str">
        <x:v>baseline</x:v>
      </x:c>
      <x:c r="H41" s="10" t="n">
        <x:v>2050</x:v>
      </x:c>
      <x:c r="I41" s="10" t="str">
        <x:v>low</x:v>
      </x:c>
      <x:c r="J41" s="11" t="b">
        <x:v>1</x:v>
      </x:c>
      <x:c r="K41" s="10" t="str">
        <x:v>CFP-2026-003-R17-20260804T234500Z</x:v>
      </x:c>
      <x:c r="L4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1" s="14" t="n">
        <x:v>-0.5798128595401297</x:v>
      </x:c>
      <x:c r="N41" s="12" t="n">
        <x:v>1056700433995.6056</x:v>
      </x:c>
      <x:c r="O41" s="12" t="n">
        <x:v>1050573548992.4827</x:v>
      </x:c>
      <x:c r="P41" s="12" t="n">
        <x:v>136222325961.35968</x:v>
      </x:c>
      <x:c r="Q41" s="12" t="n">
        <x:v>134735569875.47815</x:v>
      </x:c>
      <x:c r="R41" s="12" t="n">
        <x:v>-1486756085.8815308</x:v>
      </x:c>
      <x:c r="S41" s="12" t="n">
        <x:v>73477040696.4498</x:v>
      </x:c>
      <x:c r="T41" s="14" t="n">
        <x:v>0.012754172305111595</x:v>
      </x:c>
      <x:c r="U41" s="14" t="n">
        <x:v>0.05588588659040104</x:v>
      </x:c>
      <x:c r="V41" s="14" t="n">
        <x:v>1.0227787488432896</x:v>
      </x:c>
      <x:c r="W41" s="12" t="n">
        <x:v>17374030.171142578</x:v>
      </x:c>
      <x:c r="X41" s="12" t="n">
        <x:v>76129054.59757191</x:v>
      </x:c>
      <x:c r="Y41" s="12" t="n">
        <x:v>1393253001.112822</x:v>
      </x:c>
      <x:c r="Z41" s="14" t="n">
        <x:v>-0.01363788369573262</x:v>
      </x:c>
      <x:c r="AA41" s="14" t="n">
        <x:v>-0.05411628605042931</x:v>
      </x:c>
      <x:c r="AB41" s="14" t="n">
        <x:v>-0.5120586897939718</x:v>
      </x:c>
      <x:c r="AC41" s="12" t="n">
        <x:v>4878560.838730873</x:v>
      </x:c>
      <x:c r="AD41" s="12" t="n">
        <x:v>2201913.3295707298</x:v>
      </x:c>
      <x:c r="AE41" s="12" t="n">
        <x:v>10293556.002840973</x:v>
      </x:c>
      <x:c r="AF41" s="12" t="n">
        <x:v>5101563.534333759</x:v>
      </x:c>
      <x:c r="AG41" s="12" t="n">
        <x:v>71027491.06323814</x:v>
      </x:c>
      <x:c r="AH41" s="13" t="n">
        <x:v>143510</x:v>
      </x:c>
      <x:c r="AI41" s="13" t="n">
        <x:v>259090</x:v>
      </x:c>
      <x:c r="AJ41" s="13" t="n">
        <x:v>15140000</x:v>
      </x:c>
      <x:c r="AK41" s="12" t="n">
        <x:v>261126000000</x:v>
      </x:c>
      <x:c r="AL41" s="14" t="n">
        <x:v>0.18089619337783003</x:v>
      </x:c>
      <x:c r="AM41" s="13" t="n">
        <x:v>0</x:v>
      </x:c>
      <x:c r="AN41" s="13" t="n">
        <x:v>0</x:v>
      </x:c>
      <x:c r="AO41" s="14"/>
      <x:c r="AP41" s="10" t="str">
        <x:v>Unverified</x:v>
      </x:c>
      <x:c r="AQ41" s="10" t="str">
        <x:v>Proxy fallback; no issuer facilities in governed match file</x:v>
      </x:c>
      <x:c r="AR41" s="14"/>
      <x:c r="AS41" s="14" t="n">
        <x:v>6.952114548720453</x:v>
      </x:c>
      <x:c r="AT41" s="14" t="n">
        <x:v>0</x:v>
      </x:c>
      <x:c r="AU41" s="14" t="n">
        <x:v>9.627276973766637</x:v>
      </x:c>
      <x:c r="AV41" s="14" t="n">
        <x:v>2.5</x:v>
      </x:c>
      <x:c r="AW41" s="10" t="n">
        <x:v>0.5</x:v>
      </x:c>
      <x:c r="AX41" s="10" t="n">
        <x:v>0.7</x:v>
      </x:c>
      <x:c r="AY41" s="10" t="n">
        <x:v>0.25</x:v>
      </x:c>
      <x:c r="AZ41" s="10" t="n">
        <x:v>0.01</x:v>
      </x:c>
      <x:c r="BA41" s="10" t="n">
        <x:v>0.05</x:v>
      </x:c>
      <x:c r="BB41" s="10" t="n">
        <x:v>0.06</x:v>
      </x:c>
      <x:c r="BC41" s="10" t="n">
        <x:v>0.7</x:v>
      </x:c>
      <x:c r="BD41" s="10" t="n">
        <x:v>0.05</x:v>
      </x:c>
      <x:c r="BE41" s="10" t="n">
        <x:v>0.15</x:v>
      </x:c>
      <x:c r="BF41" s="10" t="n">
        <x:v>0.6</x:v>
      </x:c>
      <x:c r="BG41" s="10" t="n">
        <x:v>0.35</x:v>
      </x:c>
      <x:c r="BH41" s="10" t="n">
        <x:v>0.974074998898371</x:v>
      </x:c>
      <x:c r="BI41" s="10" t="str">
        <x:v>Common scenario elasticity + issuer SEC CapEx/CFO dependency scale</x:v>
      </x:c>
      <x:c r="BJ41" s="10" t="str">
        <x:v>Modeled estimate using observed inputs + disclosed assumptions</x:v>
      </x:c>
      <x:c r="BK41" s="11" t="b">
        <x:v>0</x:v>
      </x:c>
      <x:c r="BL41" s="11" t="b">
        <x:v>0</x:v>
      </x:c>
      <x:c r="BM41" s="11" t="b">
        <x:v>0</x:v>
      </x:c>
      <x:c r="BN41" s="10" t="str">
        <x:v>Conditional scenario sensitivity; not a forecast or probability</x:v>
      </x:c>
      <x:c r="BO41" s="14" t="n">
        <x:v>100.583194295059</x:v>
      </x:c>
    </x:row>
    <x:row r="42" ht="18" customHeight="1">
      <x:c r="A42" s="10" t="str">
        <x:v>MSFT</x:v>
      </x:c>
      <x:c r="B42" s="10" t="str">
        <x:v>Technology</x:v>
      </x:c>
      <x:c r="C42" s="10" t="str">
        <x:v>nz_vs_baseline</x:v>
      </x:c>
      <x:c r="D42" s="10" t="str">
        <x:v>Net Zero 2050 vs baseline</x:v>
      </x:c>
      <x:c r="E42" s="10" t="str">
        <x:v>Net Zero vs baseline</x:v>
      </x:c>
      <x:c r="F42" s="10" t="str">
        <x:v>net_zero_2050</x:v>
      </x:c>
      <x:c r="G42" s="10" t="str">
        <x:v>baseline</x:v>
      </x:c>
      <x:c r="H42" s="10" t="n">
        <x:v>2050</x:v>
      </x:c>
      <x:c r="I42" s="10" t="str">
        <x:v>base</x:v>
      </x:c>
      <x:c r="J42" s="11" t="b">
        <x:v>1</x:v>
      </x:c>
      <x:c r="K42" s="10" t="str">
        <x:v>CFP-2026-003-R17-20260804T234500Z</x:v>
      </x:c>
      <x:c r="L4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2" s="14" t="n">
        <x:v>-1.1167168782304948</x:v>
      </x:c>
      <x:c r="N42" s="12" t="n">
        <x:v>1056700433995.6056</x:v>
      </x:c>
      <x:c r="O42" s="12" t="n">
        <x:v>1044900081896.8418</x:v>
      </x:c>
      <x:c r="P42" s="12" t="n">
        <x:v>136222325961.35968</x:v>
      </x:c>
      <x:c r="Q42" s="12" t="n">
        <x:v>133486133884.79355</x:v>
      </x:c>
      <x:c r="R42" s="12" t="n">
        <x:v>-2736192076.5661316</x:v>
      </x:c>
      <x:c r="S42" s="12" t="n">
        <x:v>73477040696.4498</x:v>
      </x:c>
      <x:c r="T42" s="14" t="n">
        <x:v>0.07108162801336233</x:v>
      </x:c>
      <x:c r="U42" s="14" t="n">
        <x:v>0.18420571781522702</x:v>
      </x:c>
      <x:c r="V42" s="14" t="n">
        <x:v>1.7533349980170674</x:v>
      </x:c>
      <x:c r="W42" s="12" t="n">
        <x:v>96829047.01100358</x:v>
      </x:c>
      <x:c r="X42" s="12" t="n">
        <x:v>250929313.36172095</x:v>
      </x:c>
      <x:c r="Y42" s="12" t="n">
        <x:v>2388433716.193409</x:v>
      </x:c>
      <x:c r="Z42" s="14" t="n">
        <x:v>-0.05976346929781067</x:v>
      </x:c>
      <x:c r="AA42" s="14" t="n">
        <x:v>-0.17913851214299611</x:v>
      </x:c>
      <x:c r="AB42" s="14" t="n">
        <x:v>-0.8778148967896857</x:v>
      </x:c>
      <x:c r="AC42" s="12" t="n">
        <x:v>20532175.057020474</x:v>
      </x:c>
      <x:c r="AD42" s="12" t="n">
        <x:v>18534183.10753061</x:v>
      </x:c>
      <x:c r="AE42" s="12" t="n">
        <x:v>57762688.84645251</x:v>
      </x:c>
      <x:c r="AF42" s="12" t="n">
        <x:v>14171009.817593774</x:v>
      </x:c>
      <x:c r="AG42" s="12" t="n">
        <x:v>236758303.54412717</x:v>
      </x:c>
      <x:c r="AH42" s="13" t="n">
        <x:v>143510</x:v>
      </x:c>
      <x:c r="AI42" s="13" t="n">
        <x:v>259090</x:v>
      </x:c>
      <x:c r="AJ42" s="13" t="n">
        <x:v>15140000</x:v>
      </x:c>
      <x:c r="AK42" s="12" t="n">
        <x:v>261126000000</x:v>
      </x:c>
      <x:c r="AL42" s="14" t="n">
        <x:v>0.18089619337783003</x:v>
      </x:c>
      <x:c r="AM42" s="13" t="n">
        <x:v>0</x:v>
      </x:c>
      <x:c r="AN42" s="13" t="n">
        <x:v>0</x:v>
      </x:c>
      <x:c r="AO42" s="14"/>
      <x:c r="AP42" s="10" t="str">
        <x:v>Unverified</x:v>
      </x:c>
      <x:c r="AQ42" s="10" t="str">
        <x:v>Proxy fallback; no issuer facilities in governed match file</x:v>
      </x:c>
      <x:c r="AR42" s="14"/>
      <x:c r="AS42" s="14" t="n">
        <x:v>6.952114548720453</x:v>
      </x:c>
      <x:c r="AT42" s="14" t="n">
        <x:v>0</x:v>
      </x:c>
      <x:c r="AU42" s="14" t="n">
        <x:v>9.627276973766637</x:v>
      </x:c>
      <x:c r="AV42" s="14" t="n">
        <x:v>2.5</x:v>
      </x:c>
      <x:c r="AW42" s="10" t="n">
        <x:v>0.75</x:v>
      </x:c>
      <x:c r="AX42" s="10" t="n">
        <x:v>0.5</x:v>
      </x:c>
      <x:c r="AY42" s="10" t="n">
        <x:v>0.5</x:v>
      </x:c>
      <x:c r="AZ42" s="10" t="n">
        <x:v>0.02</x:v>
      </x:c>
      <x:c r="BA42" s="10" t="n">
        <x:v>0.03</x:v>
      </x:c>
      <x:c r="BB42" s="10" t="n">
        <x:v>0.1</x:v>
      </x:c>
      <x:c r="BC42" s="10" t="n">
        <x:v>0.5</x:v>
      </x:c>
      <x:c r="BD42" s="10" t="n">
        <x:v>0.1</x:v>
      </x:c>
      <x:c r="BE42" s="10" t="n">
        <x:v>0.25</x:v>
      </x:c>
      <x:c r="BF42" s="10" t="n">
        <x:v>0.6</x:v>
      </x:c>
      <x:c r="BG42" s="10" t="n">
        <x:v>0.6</x:v>
      </x:c>
      <x:c r="BH42" s="10" t="n">
        <x:v>0.974074998898371</x:v>
      </x:c>
      <x:c r="BI42" s="10" t="str">
        <x:v>Common scenario elasticity + issuer SEC CapEx/CFO dependency scale</x:v>
      </x:c>
      <x:c r="BJ42" s="10" t="str">
        <x:v>Modeled estimate using observed inputs + disclosed assumptions</x:v>
      </x:c>
      <x:c r="BK42" s="11" t="b">
        <x:v>0</x:v>
      </x:c>
      <x:c r="BL42" s="11" t="b">
        <x:v>0</x:v>
      </x:c>
      <x:c r="BM42" s="11" t="b">
        <x:v>0</x:v>
      </x:c>
      <x:c r="BN42" s="10" t="str">
        <x:v>Conditional scenario sensitivity; not a forecast or probability</x:v>
      </x:c>
      <x:c r="BO42" s="14" t="n">
        <x:v>101.12932827771841</x:v>
      </x:c>
    </x:row>
    <x:row r="43" ht="18" customHeight="1">
      <x:c r="A43" s="10" t="str">
        <x:v>MSFT</x:v>
      </x:c>
      <x:c r="B43" s="10" t="str">
        <x:v>Technology</x:v>
      </x:c>
      <x:c r="C43" s="10" t="str">
        <x:v>nz_vs_baseline</x:v>
      </x:c>
      <x:c r="D43" s="10" t="str">
        <x:v>Net Zero 2050 vs baseline</x:v>
      </x:c>
      <x:c r="E43" s="10" t="str">
        <x:v>Net Zero vs baseline</x:v>
      </x:c>
      <x:c r="F43" s="10" t="str">
        <x:v>net_zero_2050</x:v>
      </x:c>
      <x:c r="G43" s="10" t="str">
        <x:v>baseline</x:v>
      </x:c>
      <x:c r="H43" s="10" t="n">
        <x:v>2050</x:v>
      </x:c>
      <x:c r="I43" s="10" t="str">
        <x:v>high</x:v>
      </x:c>
      <x:c r="J43" s="11" t="b">
        <x:v>1</x:v>
      </x:c>
      <x:c r="K43" s="10" t="str">
        <x:v>CFP-2026-003-R17-20260804T234500Z</x:v>
      </x:c>
      <x:c r="L4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3" s="14" t="n">
        <x:v>-2.238736493185456</x:v>
      </x:c>
      <x:c r="N43" s="12" t="n">
        <x:v>1056700433995.6056</x:v>
      </x:c>
      <x:c r="O43" s="12" t="n">
        <x:v>1033043695756.0969</x:v>
      </x:c>
      <x:c r="P43" s="12" t="n">
        <x:v>136222325961.35968</x:v>
      </x:c>
      <x:c r="Q43" s="12" t="n">
        <x:v>131037516865.08006</x:v>
      </x:c>
      <x:c r="R43" s="12" t="n">
        <x:v>-5184809096.279617</x:v>
      </x:c>
      <x:c r="S43" s="12" t="n">
        <x:v>73477040696.4498</x:v>
      </x:c>
      <x:c r="T43" s="14" t="n">
        <x:v>0.30808199250675894</x:v>
      </x:c>
      <x:c r="U43" s="14" t="n">
        <x:v>0.575830558141374</x:v>
      </x:c>
      <x:c r="V43" s="14" t="n">
        <x:v>2.922224996695113</x:v>
      </x:c>
      <x:c r="W43" s="12" t="n">
        <x:v>419676456.0608089</x:v>
      </x:c>
      <x:c r="X43" s="12" t="n">
        <x:v>784409779.8964591</x:v>
      </x:c>
      <x:c r="Y43" s="12" t="n">
        <x:v>3980722860.322349</x:v>
      </x:c>
      <x:c r="Z43" s="14" t="n">
        <x:v>-0.21065008390985185</x:v>
      </x:c>
      <x:c r="AA43" s="14" t="n">
        <x:v>-0.5650615812928073</x:v>
      </x:c>
      <x:c r="AB43" s="14" t="n">
        <x:v>-1.4630248279827924</x:v>
      </x:c>
      <x:c r="AC43" s="12" t="n">
        <x:v>63839318.02845124</x:v>
      </x:c>
      <x:c r="AD43" s="12" t="n">
        <x:v>86440643.0283156</x:v>
      </x:c>
      <x:c r="AE43" s="12" t="n">
        <x:v>269396495.004042</x:v>
      </x:c>
      <x:c r="AF43" s="12" t="n">
        <x:v>26783208.555252228</x:v>
      </x:c>
      <x:c r="AG43" s="12" t="n">
        <x:v>757626571.3412069</x:v>
      </x:c>
      <x:c r="AH43" s="13" t="n">
        <x:v>143510</x:v>
      </x:c>
      <x:c r="AI43" s="13" t="n">
        <x:v>259090</x:v>
      </x:c>
      <x:c r="AJ43" s="13" t="n">
        <x:v>15140000</x:v>
      </x:c>
      <x:c r="AK43" s="12" t="n">
        <x:v>261126000000</x:v>
      </x:c>
      <x:c r="AL43" s="14" t="n">
        <x:v>0.18089619337783003</x:v>
      </x:c>
      <x:c r="AM43" s="13" t="n">
        <x:v>0</x:v>
      </x:c>
      <x:c r="AN43" s="13" t="n">
        <x:v>0</x:v>
      </x:c>
      <x:c r="AO43" s="14"/>
      <x:c r="AP43" s="10" t="str">
        <x:v>Unverified</x:v>
      </x:c>
      <x:c r="AQ43" s="10" t="str">
        <x:v>Proxy fallback; no issuer facilities in governed match file</x:v>
      </x:c>
      <x:c r="AR43" s="14"/>
      <x:c r="AS43" s="14" t="n">
        <x:v>6.952114548720453</x:v>
      </x:c>
      <x:c r="AT43" s="14" t="n">
        <x:v>0</x:v>
      </x:c>
      <x:c r="AU43" s="14" t="n">
        <x:v>9.627276973766637</x:v>
      </x:c>
      <x:c r="AV43" s="14" t="n">
        <x:v>2.5</x:v>
      </x:c>
      <x:c r="AW43" s="10" t="n">
        <x:v>1</x:v>
      </x:c>
      <x:c r="AX43" s="10" t="n">
        <x:v>0.3</x:v>
      </x:c>
      <x:c r="AY43" s="10" t="n">
        <x:v>0.75</x:v>
      </x:c>
      <x:c r="AZ43" s="10" t="n">
        <x:v>0.04</x:v>
      </x:c>
      <x:c r="BA43" s="10" t="n">
        <x:v>0.01</x:v>
      </x:c>
      <x:c r="BB43" s="10" t="n">
        <x:v>0.135</x:v>
      </x:c>
      <x:c r="BC43" s="10" t="n">
        <x:v>0.3</x:v>
      </x:c>
      <x:c r="BD43" s="10" t="n">
        <x:v>0.2</x:v>
      </x:c>
      <x:c r="BE43" s="10" t="n">
        <x:v>0.4</x:v>
      </x:c>
      <x:c r="BF43" s="10" t="n">
        <x:v>0.6</x:v>
      </x:c>
      <x:c r="BG43" s="10" t="n">
        <x:v>1</x:v>
      </x:c>
      <x:c r="BH43" s="10" t="n">
        <x:v>0.974074998898371</x:v>
      </x:c>
      <x:c r="BI43" s="10" t="str">
        <x:v>Common scenario elasticity + issuer SEC CapEx/CFO dependency scale</x:v>
      </x:c>
      <x:c r="BJ43" s="10" t="str">
        <x:v>Modeled estimate using observed inputs + disclosed assumptions</x:v>
      </x:c>
      <x:c r="BK43" s="11" t="b">
        <x:v>0</x:v>
      </x:c>
      <x:c r="BL43" s="11" t="b">
        <x:v>0</x:v>
      </x:c>
      <x:c r="BM43" s="11" t="b">
        <x:v>0</x:v>
      </x:c>
      <x:c r="BN43" s="10" t="str">
        <x:v>Conditional scenario sensitivity; not a forecast or probability</x:v>
      </x:c>
      <x:c r="BO43" s="14" t="n">
        <x:v>102.29000364037786</x:v>
      </x:c>
    </x:row>
    <x:row r="44" ht="18" customHeight="1">
      <x:c r="A44" s="10" t="str">
        <x:v>NEE</x:v>
      </x:c>
      <x:c r="B44" s="10" t="str">
        <x:v>Utilities</x:v>
      </x:c>
      <x:c r="C44" s="10" t="str">
        <x:v>nz_vs_baseline</x:v>
      </x:c>
      <x:c r="D44" s="10" t="str">
        <x:v>Net Zero 2050 vs baseline</x:v>
      </x:c>
      <x:c r="E44" s="10" t="str">
        <x:v>Net Zero vs baseline</x:v>
      </x:c>
      <x:c r="F44" s="10" t="str">
        <x:v>net_zero_2050</x:v>
      </x:c>
      <x:c r="G44" s="10" t="str">
        <x:v>baseline</x:v>
      </x:c>
      <x:c r="H44" s="10" t="n">
        <x:v>2050</x:v>
      </x:c>
      <x:c r="I44" s="10" t="str">
        <x:v>low</x:v>
      </x:c>
      <x:c r="J44" s="11" t="b">
        <x:v>1</x:v>
      </x:c>
      <x:c r="K44" s="10" t="str">
        <x:v>CFP-2026-003-R17-20260804T234500Z</x:v>
      </x:c>
      <x:c r="L4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4" s="14" t="n">
        <x:v>-10.696196870062114</x:v>
      </x:c>
      <x:c r="N44" s="12" t="n">
        <x:v>207787213356.48944</x:v>
      </x:c>
      <x:c r="O44" s="12" t="n">
        <x:v>185561883945.06332</x:v>
      </x:c>
      <x:c r="P44" s="12" t="n">
        <x:v>16208268485.95464</x:v>
      </x:c>
      <x:c r="Q44" s="12" t="n">
        <x:v>14356091095.18947</x:v>
      </x:c>
      <x:c r="R44" s="12" t="n">
        <x:v>-1852177390.7651691</x:v>
      </x:c>
      <x:c r="S44" s="12" t="n">
        <x:v>9879440000</x:v>
      </x:c>
      <x:c r="T44" s="14" t="n">
        <x:v>9.106032199215939</x:v>
      </x:c>
      <x:c r="U44" s="14" t="n">
        <x:v>0.22132904156176864</x:v>
      </x:c>
      <x:c r="V44" s="14" t="n">
        <x:v>2.0999999999999996</x:v>
      </x:c>
      <x:c r="W44" s="12" t="n">
        <x:v>1475930147.2663994</x:v>
      </x:c>
      <x:c r="X44" s="12" t="n">
        <x:v>35873605.29372159</x:v>
      </x:c>
      <x:c r="Y44" s="12" t="n">
        <x:v>340373638.20504737</x:v>
      </x:c>
      <x:c r="Z44" s="14" t="n">
        <x:v>-9.259491862451453</x:v>
      </x:c>
      <x:c r="AA44" s="14" t="n">
        <x:v>-0.16543741136978937</x:v>
      </x:c>
      <x:c r="AB44" s="14" t="n">
        <x:v>-1.2712675962408735</x:v>
      </x:c>
      <x:c r="AC44" s="12" t="n">
        <x:v>1475701470.3871799</x:v>
      </x:c>
      <x:c r="AD44" s="12" t="n">
        <x:v>217590.74829981627</x:v>
      </x:c>
      <x:c r="AE44" s="12" t="n">
        <x:v>11086.13091967465</x:v>
      </x:c>
      <x:c r="AF44" s="12" t="n">
        <x:v>27422474.857413653</x:v>
      </x:c>
      <x:c r="AG44" s="12" t="n">
        <x:v>8451130.436307935</x:v>
      </x:c>
      <x:c r="AH44" s="13" t="n">
        <x:v>43409916.37</x:v>
      </x:c>
      <x:c r="AI44" s="13" t="n">
        <x:v>25603</x:v>
      </x:c>
      <x:c r="AJ44" s="13" t="n">
        <x:v>65222.95</x:v>
      </x:c>
      <x:c r="AK44" s="12" t="n">
        <x:v>156197000000</x:v>
      </x:c>
      <x:c r="AL44" s="14" t="n">
        <x:v>0.25009029941509914</x:v>
      </x:c>
      <x:c r="AM44" s="13" t="n">
        <x:v>23</x:v>
      </x:c>
      <x:c r="AN44" s="13" t="n">
        <x:v>27</x:v>
      </x:c>
      <x:c r="AO44" s="14" t="n">
        <x:v>85.18518518518519</x:v>
      </x:c>
      <x:c r="AP44" s="10" t="str">
        <x:v>High</x:v>
      </x:c>
      <x:c r="AQ44" s="10" t="str">
        <x:v>Issuer facility-to-FEMA county match</x:v>
      </x:c>
      <x:c r="AR44" s="14" t="n">
        <x:v>0.25009029941509914</x:v>
      </x:c>
      <x:c r="AS44" s="14" t="n">
        <x:v>6.952114548720453</x:v>
      </x:c>
      <x:c r="AT44" s="14" t="n">
        <x:v>0</x:v>
      </x:c>
      <x:c r="AU44" s="14" t="n">
        <x:v>6.849686675720218</x:v>
      </x:c>
      <x:c r="AV44" s="14" t="n">
        <x:v>2</x:v>
      </x:c>
      <x:c r="AW44" s="10" t="n">
        <x:v>0.5</x:v>
      </x:c>
      <x:c r="AX44" s="10" t="n">
        <x:v>0.7</x:v>
      </x:c>
      <x:c r="AY44" s="10" t="n">
        <x:v>0.25</x:v>
      </x:c>
      <x:c r="AZ44" s="10" t="n">
        <x:v>0.0025</x:v>
      </x:c>
      <x:c r="BA44" s="10" t="n">
        <x:v>0.05</x:v>
      </x:c>
      <x:c r="BB44" s="10" t="n">
        <x:v>0.39</x:v>
      </x:c>
      <x:c r="BC44" s="10" t="n">
        <x:v>0.7</x:v>
      </x:c>
      <x:c r="BD44" s="10" t="n">
        <x:v>0.05</x:v>
      </x:c>
      <x:c r="BE44" s="10" t="n">
        <x:v>0.15</x:v>
      </x:c>
      <x:c r="BF44" s="10" t="n">
        <x:v>0.6</x:v>
      </x:c>
      <x:c r="BG44" s="10" t="n">
        <x:v>0.35</x:v>
      </x:c>
      <x:c r="BH44" s="10" t="n">
        <x:v>2</x:v>
      </x:c>
      <x:c r="BI44" s="10" t="str">
        <x:v>Common scenario elasticity + issuer SEC CapEx/CFO dependency scale</x:v>
      </x:c>
      <x:c r="BJ44" s="10" t="str">
        <x:v>Modeled estimate using observed inputs + disclosed assumptions</x:v>
      </x:c>
      <x:c r="BK44" s="11" t="b">
        <x:v>0</x:v>
      </x:c>
      <x:c r="BL44" s="11" t="b">
        <x:v>0</x:v>
      </x:c>
      <x:c r="BM44" s="11" t="b">
        <x:v>0</x:v>
      </x:c>
      <x:c r="BN44" s="10" t="str">
        <x:v>Conditional scenario sensitivity; not a forecast or probability</x:v>
      </x:c>
      <x:c r="BO44" s="14" t="n">
        <x:v>111.9773139498875</x:v>
      </x:c>
    </x:row>
    <x:row r="45" ht="18" customHeight="1">
      <x:c r="A45" s="10" t="str">
        <x:v>NEE</x:v>
      </x:c>
      <x:c r="B45" s="10" t="str">
        <x:v>Utilities</x:v>
      </x:c>
      <x:c r="C45" s="10" t="str">
        <x:v>nz_vs_baseline</x:v>
      </x:c>
      <x:c r="D45" s="10" t="str">
        <x:v>Net Zero 2050 vs baseline</x:v>
      </x:c>
      <x:c r="E45" s="10" t="str">
        <x:v>Net Zero vs baseline</x:v>
      </x:c>
      <x:c r="F45" s="10" t="str">
        <x:v>net_zero_2050</x:v>
      </x:c>
      <x:c r="G45" s="10" t="str">
        <x:v>baseline</x:v>
      </x:c>
      <x:c r="H45" s="10" t="n">
        <x:v>2050</x:v>
      </x:c>
      <x:c r="I45" s="10" t="str">
        <x:v>base</x:v>
      </x:c>
      <x:c r="J45" s="11" t="b">
        <x:v>1</x:v>
      </x:c>
      <x:c r="K45" s="10" t="str">
        <x:v>CFP-2026-003-R17-20260804T234500Z</x:v>
      </x:c>
      <x:c r="L4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5" s="14" t="n">
        <x:v>-35.15529295786975</x:v>
      </x:c>
      <x:c r="N45" s="12" t="n">
        <x:v>207787213356.48944</x:v>
      </x:c>
      <x:c r="O45" s="12" t="n">
        <x:v>134739009772.02173</x:v>
      </x:c>
      <x:c r="P45" s="12" t="n">
        <x:v>16208268485.95464</x:v>
      </x:c>
      <x:c r="Q45" s="12" t="n">
        <x:v>9307816067.787355</x:v>
      </x:c>
      <x:c r="R45" s="12" t="n">
        <x:v>-6900452418.167284</x:v>
      </x:c>
      <x:c r="S45" s="12" t="n">
        <x:v>9879440000</x:v>
      </x:c>
      <x:c r="T45" s="14" t="n">
        <x:v>38.3298856506369</x:v>
      </x:c>
      <x:c r="U45" s="14" t="n">
        <x:v>0.6437700371801368</x:v>
      </x:c>
      <x:c r="V45" s="14" t="n">
        <x:v>3.5999999999999996</x:v>
      </x:c>
      <x:c r="W45" s="12" t="n">
        <x:v>6212610776.614631</x:v>
      </x:c>
      <x:c r="X45" s="12" t="n">
        <x:v>104343976.05828658</x:v>
      </x:c>
      <x:c r="Y45" s="12" t="n">
        <x:v>583497665.494367</x:v>
      </x:c>
      <x:c r="Z45" s="14" t="n">
        <x:v>-32.48756357572265</x:v>
      </x:c>
      <x:c r="AA45" s="14" t="n">
        <x:v>-0.48841350287701557</x:v>
      </x:c>
      <x:c r="AB45" s="14" t="n">
        <x:v>-2.1793158792700735</x:v>
      </x:c>
      <x:c r="AC45" s="12" t="n">
        <x:v>6210717037.972677</x:v>
      </x:c>
      <x:c r="AD45" s="12" t="n">
        <x:v>1831528.388213</x:v>
      </x:c>
      <x:c r="AE45" s="12" t="n">
        <x:v>62210.253740054985</x:v>
      </x:c>
      <x:c r="AF45" s="12" t="n">
        <x:v>76173541.27059346</x:v>
      </x:c>
      <x:c r="AG45" s="12" t="n">
        <x:v>28170434.78769312</x:v>
      </x:c>
      <x:c r="AH45" s="13" t="n">
        <x:v>43409916.37</x:v>
      </x:c>
      <x:c r="AI45" s="13" t="n">
        <x:v>25603</x:v>
      </x:c>
      <x:c r="AJ45" s="13" t="n">
        <x:v>65222.95</x:v>
      </x:c>
      <x:c r="AK45" s="12" t="n">
        <x:v>156197000000</x:v>
      </x:c>
      <x:c r="AL45" s="14" t="n">
        <x:v>0.25009029941509914</x:v>
      </x:c>
      <x:c r="AM45" s="13" t="n">
        <x:v>23</x:v>
      </x:c>
      <x:c r="AN45" s="13" t="n">
        <x:v>27</x:v>
      </x:c>
      <x:c r="AO45" s="14" t="n">
        <x:v>85.18518518518519</x:v>
      </x:c>
      <x:c r="AP45" s="10" t="str">
        <x:v>High</x:v>
      </x:c>
      <x:c r="AQ45" s="10" t="str">
        <x:v>Issuer facility-to-FEMA county match</x:v>
      </x:c>
      <x:c r="AR45" s="14" t="n">
        <x:v>0.25009029941509914</x:v>
      </x:c>
      <x:c r="AS45" s="14" t="n">
        <x:v>6.952114548720453</x:v>
      </x:c>
      <x:c r="AT45" s="14" t="n">
        <x:v>0</x:v>
      </x:c>
      <x:c r="AU45" s="14" t="n">
        <x:v>6.849686675720218</x:v>
      </x:c>
      <x:c r="AV45" s="14" t="n">
        <x:v>2</x:v>
      </x:c>
      <x:c r="AW45" s="10" t="n">
        <x:v>0.75</x:v>
      </x:c>
      <x:c r="AX45" s="10" t="n">
        <x:v>0.5</x:v>
      </x:c>
      <x:c r="AY45" s="10" t="n">
        <x:v>0.5</x:v>
      </x:c>
      <x:c r="AZ45" s="10" t="n">
        <x:v>0.005</x:v>
      </x:c>
      <x:c r="BA45" s="10" t="n">
        <x:v>0.03</x:v>
      </x:c>
      <x:c r="BB45" s="10" t="n">
        <x:v>0.65</x:v>
      </x:c>
      <x:c r="BC45" s="10" t="n">
        <x:v>0.5</x:v>
      </x:c>
      <x:c r="BD45" s="10" t="n">
        <x:v>0.1</x:v>
      </x:c>
      <x:c r="BE45" s="10" t="n">
        <x:v>0.25</x:v>
      </x:c>
      <x:c r="BF45" s="10" t="n">
        <x:v>0.6</x:v>
      </x:c>
      <x:c r="BG45" s="10" t="n">
        <x:v>0.6</x:v>
      </x:c>
      <x:c r="BH45" s="10" t="n">
        <x:v>2</x:v>
      </x:c>
      <x:c r="BI45" s="10" t="str">
        <x:v>Common scenario elasticity + issuer SEC CapEx/CFO dependency scale</x:v>
      </x:c>
      <x:c r="BJ45" s="10" t="str">
        <x:v>Modeled estimate using observed inputs + disclosed assumptions</x:v>
      </x:c>
      <x:c r="BK45" s="11" t="b">
        <x:v>0</x:v>
      </x:c>
      <x:c r="BL45" s="11" t="b">
        <x:v>0</x:v>
      </x:c>
      <x:c r="BM45" s="11" t="b">
        <x:v>0</x:v>
      </x:c>
      <x:c r="BN45" s="10" t="str">
        <x:v>Conditional scenario sensitivity; not a forecast or probability</x:v>
      </x:c>
      <x:c r="BO45" s="14" t="n">
        <x:v>154.2145913852753</x:v>
      </x:c>
    </x:row>
    <x:row r="46" ht="18" customHeight="1">
      <x:c r="A46" s="10" t="str">
        <x:v>NEE</x:v>
      </x:c>
      <x:c r="B46" s="10" t="str">
        <x:v>Utilities</x:v>
      </x:c>
      <x:c r="C46" s="10" t="str">
        <x:v>nz_vs_baseline</x:v>
      </x:c>
      <x:c r="D46" s="10" t="str">
        <x:v>Net Zero 2050 vs baseline</x:v>
      </x:c>
      <x:c r="E46" s="10" t="str">
        <x:v>Net Zero vs baseline</x:v>
      </x:c>
      <x:c r="F46" s="10" t="str">
        <x:v>net_zero_2050</x:v>
      </x:c>
      <x:c r="G46" s="10" t="str">
        <x:v>baseline</x:v>
      </x:c>
      <x:c r="H46" s="10" t="n">
        <x:v>2050</x:v>
      </x:c>
      <x:c r="I46" s="10" t="str">
        <x:v>high</x:v>
      </x:c>
      <x:c r="J46" s="11" t="b">
        <x:v>1</x:v>
      </x:c>
      <x:c r="K46" s="10" t="str">
        <x:v>CFP-2026-003-R17-20260804T234500Z</x:v>
      </x:c>
      <x:c r="L4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6" s="14" t="n">
        <x:v>-79.9289171739135</x:v>
      </x:c>
      <x:c r="N46" s="12" t="n">
        <x:v>207787213356.48944</x:v>
      </x:c>
      <x:c r="O46" s="12" t="n">
        <x:v>41705143694.79804</x:v>
      </x:c>
      <x:c r="P46" s="12" t="n">
        <x:v>16208268485.95464</x:v>
      </x:c>
      <x:c r="Q46" s="12" t="n">
        <x:v>0</x:v>
      </x:c>
      <x:c r="R46" s="12" t="n">
        <x:v>-16208268485.95464</x:v>
      </x:c>
      <x:c r="S46" s="12" t="n">
        <x:v>9879440000</x:v>
      </x:c>
      <x:c r="T46" s="14" t="n">
        <x:v>119.19471247267475</x:v>
      </x:c>
      <x:c r="U46" s="14" t="n">
        <x:v>1.4444071217410535</x:v>
      </x:c>
      <x:c r="V46" s="14" t="n">
        <x:v>6</x:v>
      </x:c>
      <x:c r="W46" s="12" t="n">
        <x:v>19319399018.632786</x:v>
      </x:c>
      <x:c r="X46" s="12" t="n">
        <x:v>234113384.32203963</x:v>
      </x:c>
      <x:c r="Y46" s="12" t="n">
        <x:v>972496109.1572783</x:v>
      </x:c>
      <x:c r="Z46" s="14" t="n">
        <x:v>-76.78744932405031</x:v>
      </x:c>
      <x:c r="AA46" s="14" t="n">
        <x:v>-0.8184031414075494</x:v>
      </x:c>
      <x:c r="AB46" s="14" t="n">
        <x:v>-2.3230647084556533</x:v>
      </x:c>
      <x:c r="AC46" s="12" t="n">
        <x:v>19310566906.368206</x:v>
      </x:c>
      <x:c r="AD46" s="12" t="n">
        <x:v>8541972.99569248</x:v>
      </x:c>
      <x:c r="AE46" s="12" t="n">
        <x:v>290139.26888744853</x:v>
      </x:c>
      <x:c r="AF46" s="12" t="n">
        <x:v>143967993.00142163</x:v>
      </x:c>
      <x:c r="AG46" s="12" t="n">
        <x:v>90145391.320618</x:v>
      </x:c>
      <x:c r="AH46" s="13" t="n">
        <x:v>43409916.37</x:v>
      </x:c>
      <x:c r="AI46" s="13" t="n">
        <x:v>25603</x:v>
      </x:c>
      <x:c r="AJ46" s="13" t="n">
        <x:v>65222.95</x:v>
      </x:c>
      <x:c r="AK46" s="12" t="n">
        <x:v>156197000000</x:v>
      </x:c>
      <x:c r="AL46" s="14" t="n">
        <x:v>0.25009029941509914</x:v>
      </x:c>
      <x:c r="AM46" s="13" t="n">
        <x:v>23</x:v>
      </x:c>
      <x:c r="AN46" s="13" t="n">
        <x:v>27</x:v>
      </x:c>
      <x:c r="AO46" s="14" t="n">
        <x:v>85.18518518518519</x:v>
      </x:c>
      <x:c r="AP46" s="10" t="str">
        <x:v>High</x:v>
      </x:c>
      <x:c r="AQ46" s="10" t="str">
        <x:v>Issuer facility-to-FEMA county match</x:v>
      </x:c>
      <x:c r="AR46" s="14" t="n">
        <x:v>0.25009029941509914</x:v>
      </x:c>
      <x:c r="AS46" s="14" t="n">
        <x:v>6.952114548720453</x:v>
      </x:c>
      <x:c r="AT46" s="14" t="n">
        <x:v>0</x:v>
      </x:c>
      <x:c r="AU46" s="14" t="n">
        <x:v>6.849686675720218</x:v>
      </x:c>
      <x:c r="AV46" s="14" t="n">
        <x:v>2</x:v>
      </x:c>
      <x:c r="AW46" s="10" t="n">
        <x:v>1</x:v>
      </x:c>
      <x:c r="AX46" s="10" t="n">
        <x:v>0.3</x:v>
      </x:c>
      <x:c r="AY46" s="10" t="n">
        <x:v>0.75</x:v>
      </x:c>
      <x:c r="AZ46" s="10" t="n">
        <x:v>0.01</x:v>
      </x:c>
      <x:c r="BA46" s="10" t="n">
        <x:v>0.01</x:v>
      </x:c>
      <x:c r="BB46" s="10" t="n">
        <x:v>0.8775000000000001</x:v>
      </x:c>
      <x:c r="BC46" s="10" t="n">
        <x:v>0.3</x:v>
      </x:c>
      <x:c r="BD46" s="10" t="n">
        <x:v>0.2</x:v>
      </x:c>
      <x:c r="BE46" s="10" t="n">
        <x:v>0.4</x:v>
      </x:c>
      <x:c r="BF46" s="10" t="n">
        <x:v>0.6</x:v>
      </x:c>
      <x:c r="BG46" s="10" t="n">
        <x:v>1</x:v>
      </x:c>
      <x:c r="BH46" s="10" t="n">
        <x:v>2</x:v>
      </x:c>
      <x:c r="BI46" s="10" t="str">
        <x:v>Common scenario elasticity + issuer SEC CapEx/CFO dependency scale</x:v>
      </x:c>
      <x:c r="BJ46" s="10" t="str">
        <x:v>Modeled estimate using observed inputs + disclosed assumptions</x:v>
      </x:c>
      <x:c r="BK46" s="11" t="b">
        <x:v>0</x:v>
      </x:c>
      <x:c r="BL46" s="11" t="b">
        <x:v>0</x:v>
      </x:c>
      <x:c r="BM46" s="11" t="b">
        <x:v>0</x:v>
      </x:c>
      <x:c r="BN46" s="10" t="str">
        <x:v>Conditional scenario sensitivity; not a forecast or probability</x:v>
      </x:c>
      <x:c r="BO46" s="14" t="n">
        <x:v>498.22922293972846</x:v>
      </x:c>
    </x:row>
    <x:row r="47" ht="18" customHeight="1">
      <x:c r="A47" s="10" t="str">
        <x:v>XOM</x:v>
      </x:c>
      <x:c r="B47" s="10" t="str">
        <x:v>Energy</x:v>
      </x:c>
      <x:c r="C47" s="10" t="str">
        <x:v>nz_vs_baseline</x:v>
      </x:c>
      <x:c r="D47" s="10" t="str">
        <x:v>Net Zero 2050 vs baseline</x:v>
      </x:c>
      <x:c r="E47" s="10" t="str">
        <x:v>Net Zero vs baseline</x:v>
      </x:c>
      <x:c r="F47" s="10" t="str">
        <x:v>net_zero_2050</x:v>
      </x:c>
      <x:c r="G47" s="10" t="str">
        <x:v>baseline</x:v>
      </x:c>
      <x:c r="H47" s="10" t="n">
        <x:v>2050</x:v>
      </x:c>
      <x:c r="I47" s="10" t="str">
        <x:v>low</x:v>
      </x:c>
      <x:c r="J47" s="11" t="b">
        <x:v>1</x:v>
      </x:c>
      <x:c r="K47" s="10" t="str">
        <x:v>CFP-2026-003-R17-20260804T234500Z</x:v>
      </x:c>
      <x:c r="L4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7" s="14" t="n">
        <x:v>-10.625712531167231</x:v>
      </x:c>
      <x:c r="N47" s="12" t="n">
        <x:v>676608329467.1913</x:v>
      </x:c>
      <x:c r="O47" s="12" t="n">
        <x:v>604713873416.0747</x:v>
      </x:c>
      <x:c r="P47" s="12" t="n">
        <x:v>37562427566.9594</x:v>
      </x:c>
      <x:c r="Q47" s="12" t="n">
        <x:v>33444170794.331444</x:v>
      </x:c>
      <x:c r="R47" s="12" t="n">
        <x:v>-4118256772.6279526</x:v>
      </x:c>
      <x:c r="S47" s="12" t="n">
        <x:v>24046905786.56586</x:v>
      </x:c>
      <x:c r="T47" s="14" t="n">
        <x:v>9.741584411192198</x:v>
      </x:c>
      <x:c r="U47" s="14" t="n">
        <x:v>0.12423787620712545</x:v>
      </x:c>
      <x:c r="V47" s="14" t="n">
        <x:v>1.0979440061573982</x:v>
      </x:c>
      <x:c r="W47" s="12" t="n">
        <x:v>3659175588.328277</x:v>
      </x:c>
      <x:c r="X47" s="12" t="n">
        <x:v>46666762.26103018</x:v>
      </x:c>
      <x:c r="Y47" s="12" t="n">
        <x:v>412414422.0386449</x:v>
      </x:c>
      <x:c r="Z47" s="14" t="n">
        <x:v>-9.776044820928128</x:v>
      </x:c>
      <x:c r="AA47" s="14" t="n">
        <x:v>-0.1044879995081348</x:v>
      </x:c>
      <x:c r="AB47" s="14" t="n">
        <x:v>-0.7451797107309628</x:v>
      </x:c>
      <x:c r="AC47" s="12" t="n">
        <x:v>3535435351.041814</x:v>
      </x:c>
      <x:c r="AD47" s="12" t="n">
        <x:v>59490498.69541514</x:v>
      </x:c>
      <x:c r="AE47" s="12" t="n">
        <x:v>64249738.591048345</x:v>
      </x:c>
      <x:c r="AF47" s="12" t="n">
        <x:v>27081389.823016435</x:v>
      </x:c>
      <x:c r="AG47" s="12" t="n">
        <x:v>19585372.438013747</x:v>
      </x:c>
      <x:c r="AH47" s="13" t="n">
        <x:v>104000000</x:v>
      </x:c>
      <x:c r="AI47" s="13" t="n">
        <x:v>7000000</x:v>
      </x:c>
      <x:c r="AJ47" s="13" t="n">
        <x:v>630000000</x:v>
      </x:c>
      <x:c r="AK47" s="12" t="n">
        <x:v>299373000000</x:v>
      </x:c>
      <x:c r="AL47" s="14" t="n">
        <x:v>0.18613243120519987</x:v>
      </x:c>
      <x:c r="AM47" s="13" t="n">
        <x:v>49</x:v>
      </x:c>
      <x:c r="AN47" s="13" t="n">
        <x:v>68</x:v>
      </x:c>
      <x:c r="AO47" s="14" t="n">
        <x:v>72.05882352941177</x:v>
      </x:c>
      <x:c r="AP47" s="10" t="str">
        <x:v>Medium</x:v>
      </x:c>
      <x:c r="AQ47" s="10" t="str">
        <x:v>Issuer facility-to-FEMA county match</x:v>
      </x:c>
      <x:c r="AR47" s="14" t="n">
        <x:v>0.18613243120519987</x:v>
      </x:c>
      <x:c r="AS47" s="14" t="n">
        <x:v>6.952114548720453</x:v>
      </x:c>
      <x:c r="AT47" s="14" t="n">
        <x:v>0</x:v>
      </x:c>
      <x:c r="AU47" s="14" t="n">
        <x:v>5.418008975739499</x:v>
      </x:c>
      <x:c r="AV47" s="14" t="n">
        <x:v>1.7999999999999998</x:v>
      </x:c>
      <x:c r="AW47" s="10" t="n">
        <x:v>0.5</x:v>
      </x:c>
      <x:c r="AX47" s="10" t="n">
        <x:v>0.7</x:v>
      </x:c>
      <x:c r="AY47" s="10" t="n">
        <x:v>0.25</x:v>
      </x:c>
      <x:c r="AZ47" s="10" t="n">
        <x:v>0.0015</x:v>
      </x:c>
      <x:c r="BA47" s="10" t="n">
        <x:v>0.05</x:v>
      </x:c>
      <x:c r="BB47" s="10" t="n">
        <x:v>0.27</x:v>
      </x:c>
      <x:c r="BC47" s="10" t="n">
        <x:v>0.7</x:v>
      </x:c>
      <x:c r="BD47" s="10" t="n">
        <x:v>0.05</x:v>
      </x:c>
      <x:c r="BE47" s="10" t="n">
        <x:v>0.15</x:v>
      </x:c>
      <x:c r="BF47" s="10" t="n">
        <x:v>0.6</x:v>
      </x:c>
      <x:c r="BG47" s="10" t="n">
        <x:v>0.35</x:v>
      </x:c>
      <x:c r="BH47" s="10" t="n">
        <x:v>1.0456609582451413</x:v>
      </x:c>
      <x:c r="BI47" s="10" t="str">
        <x:v>Common scenario elasticity + issuer SEC CapEx/CFO dependency scale</x:v>
      </x:c>
      <x:c r="BJ47" s="10" t="str">
        <x:v>Modeled estimate using observed inputs + disclosed assumptions</x:v>
      </x:c>
      <x:c r="BK47" s="11" t="b">
        <x:v>0</x:v>
      </x:c>
      <x:c r="BL47" s="11" t="b">
        <x:v>0</x:v>
      </x:c>
      <x:c r="BM47" s="11" t="b">
        <x:v>0</x:v>
      </x:c>
      <x:c r="BN47" s="10" t="str">
        <x:v>Conditional scenario sensitivity; not a forecast or probability</x:v>
      </x:c>
      <x:c r="BO47" s="14" t="n">
        <x:v>111.88900390939922</x:v>
      </x:c>
    </x:row>
    <x:row r="48" ht="18" customHeight="1">
      <x:c r="A48" s="10" t="str">
        <x:v>XOM</x:v>
      </x:c>
      <x:c r="B48" s="10" t="str">
        <x:v>Energy</x:v>
      </x:c>
      <x:c r="C48" s="10" t="str">
        <x:v>nz_vs_baseline</x:v>
      </x:c>
      <x:c r="D48" s="10" t="str">
        <x:v>Net Zero 2050 vs baseline</x:v>
      </x:c>
      <x:c r="E48" s="10" t="str">
        <x:v>Net Zero vs baseline</x:v>
      </x:c>
      <x:c r="F48" s="10" t="str">
        <x:v>net_zero_2050</x:v>
      </x:c>
      <x:c r="G48" s="10" t="str">
        <x:v>baseline</x:v>
      </x:c>
      <x:c r="H48" s="10" t="n">
        <x:v>2050</x:v>
      </x:c>
      <x:c r="I48" s="10" t="str">
        <x:v>base</x:v>
      </x:c>
      <x:c r="J48" s="11" t="b">
        <x:v>1</x:v>
      </x:c>
      <x:c r="K48" s="10" t="str">
        <x:v>CFP-2026-003-R17-20260804T234500Z</x:v>
      </x:c>
      <x:c r="L4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8" s="14" t="n">
        <x:v>-37.99538072621409</x:v>
      </x:c>
      <x:c r="N48" s="12" t="n">
        <x:v>676608329467.1913</x:v>
      </x:c>
      <x:c r="O48" s="12" t="n">
        <x:v>419528418660.855</x:v>
      </x:c>
      <x:c r="P48" s="12" t="n">
        <x:v>37562427566.9594</x:v>
      </x:c>
      <x:c r="Q48" s="12" t="n">
        <x:v>20974206522.895344</x:v>
      </x:c>
      <x:c r="R48" s="12" t="n">
        <x:v>-16588221044.064053</x:v>
      </x:c>
      <x:c r="S48" s="12" t="n">
        <x:v>24046905786.56586</x:v>
      </x:c>
      <x:c r="T48" s="14" t="n">
        <x:v>41.90547643999595</x:v>
      </x:c>
      <x:c r="U48" s="14" t="n">
        <x:v>0.37407235563946145</x:v>
      </x:c>
      <x:c r="V48" s="14" t="n">
        <x:v>1.882189724841254</x:v>
      </x:c>
      <x:c r="W48" s="12" t="n">
        <x:v>15740714234.362713</x:v>
      </x:c>
      <x:c r="X48" s="12" t="n">
        <x:v>140510657.63509145</x:v>
      </x:c>
      <x:c r="Y48" s="12" t="n">
        <x:v>706996152.0662484</x:v>
      </x:c>
      <x:c r="Z48" s="14" t="n">
        <x:v>-36.39879280063305</x:v>
      </x:c>
      <x:c r="AA48" s="14" t="n">
        <x:v>-0.31913699289937736</x:v>
      </x:c>
      <x:c r="AB48" s="14" t="n">
        <x:v>-1.2774509326816537</x:v>
      </x:c>
      <x:c r="AC48" s="12" t="n">
        <x:v>14879424471.67535</x:v>
      </x:c>
      <x:c r="AD48" s="12" t="n">
        <x:v>500749862.0275358</x:v>
      </x:c>
      <x:c r="AE48" s="12" t="n">
        <x:v>360539900.6598258</x:v>
      </x:c>
      <x:c r="AF48" s="12" t="n">
        <x:v>75226082.8417123</x:v>
      </x:c>
      <x:c r="AG48" s="12" t="n">
        <x:v>65284574.793379165</x:v>
      </x:c>
      <x:c r="AH48" s="13" t="n">
        <x:v>104000000</x:v>
      </x:c>
      <x:c r="AI48" s="13" t="n">
        <x:v>7000000</x:v>
      </x:c>
      <x:c r="AJ48" s="13" t="n">
        <x:v>630000000</x:v>
      </x:c>
      <x:c r="AK48" s="12" t="n">
        <x:v>299373000000</x:v>
      </x:c>
      <x:c r="AL48" s="14" t="n">
        <x:v>0.18613243120519987</x:v>
      </x:c>
      <x:c r="AM48" s="13" t="n">
        <x:v>49</x:v>
      </x:c>
      <x:c r="AN48" s="13" t="n">
        <x:v>68</x:v>
      </x:c>
      <x:c r="AO48" s="14" t="n">
        <x:v>72.05882352941177</x:v>
      </x:c>
      <x:c r="AP48" s="10" t="str">
        <x:v>Medium</x:v>
      </x:c>
      <x:c r="AQ48" s="10" t="str">
        <x:v>Issuer facility-to-FEMA county match</x:v>
      </x:c>
      <x:c r="AR48" s="14" t="n">
        <x:v>0.18613243120519987</x:v>
      </x:c>
      <x:c r="AS48" s="14" t="n">
        <x:v>6.952114548720453</x:v>
      </x:c>
      <x:c r="AT48" s="14" t="n">
        <x:v>0</x:v>
      </x:c>
      <x:c r="AU48" s="14" t="n">
        <x:v>5.418008975739499</x:v>
      </x:c>
      <x:c r="AV48" s="14" t="n">
        <x:v>1.7999999999999998</x:v>
      </x:c>
      <x:c r="AW48" s="10" t="n">
        <x:v>0.75</x:v>
      </x:c>
      <x:c r="AX48" s="10" t="n">
        <x:v>0.5</x:v>
      </x:c>
      <x:c r="AY48" s="10" t="n">
        <x:v>0.5</x:v>
      </x:c>
      <x:c r="AZ48" s="10" t="n">
        <x:v>0.003</x:v>
      </x:c>
      <x:c r="BA48" s="10" t="n">
        <x:v>0.03</x:v>
      </x:c>
      <x:c r="BB48" s="10" t="n">
        <x:v>0.45</x:v>
      </x:c>
      <x:c r="BC48" s="10" t="n">
        <x:v>0.5</x:v>
      </x:c>
      <x:c r="BD48" s="10" t="n">
        <x:v>0.1</x:v>
      </x:c>
      <x:c r="BE48" s="10" t="n">
        <x:v>0.25</x:v>
      </x:c>
      <x:c r="BF48" s="10" t="n">
        <x:v>0.6</x:v>
      </x:c>
      <x:c r="BG48" s="10" t="n">
        <x:v>0.6</x:v>
      </x:c>
      <x:c r="BH48" s="10" t="n">
        <x:v>1.0456609582451413</x:v>
      </x:c>
      <x:c r="BI48" s="10" t="str">
        <x:v>Common scenario elasticity + issuer SEC CapEx/CFO dependency scale</x:v>
      </x:c>
      <x:c r="BJ48" s="10" t="str">
        <x:v>Modeled estimate using observed inputs + disclosed assumptions</x:v>
      </x:c>
      <x:c r="BK48" s="11" t="b">
        <x:v>0</x:v>
      </x:c>
      <x:c r="BL48" s="11" t="b">
        <x:v>0</x:v>
      </x:c>
      <x:c r="BM48" s="11" t="b">
        <x:v>0</x:v>
      </x:c>
      <x:c r="BN48" s="10" t="str">
        <x:v>Conditional scenario sensitivity; not a forecast or probability</x:v>
      </x:c>
      <x:c r="BO48" s="14" t="n">
        <x:v>161.2783066346117</x:v>
      </x:c>
    </x:row>
    <x:row r="49" ht="18" customHeight="1">
      <x:c r="A49" s="10" t="str">
        <x:v>XOM</x:v>
      </x:c>
      <x:c r="B49" s="10" t="str">
        <x:v>Energy</x:v>
      </x:c>
      <x:c r="C49" s="10" t="str">
        <x:v>nz_vs_baseline</x:v>
      </x:c>
      <x:c r="D49" s="10" t="str">
        <x:v>Net Zero 2050 vs baseline</x:v>
      </x:c>
      <x:c r="E49" s="10" t="str">
        <x:v>Net Zero vs baseline</x:v>
      </x:c>
      <x:c r="F49" s="10" t="str">
        <x:v>net_zero_2050</x:v>
      </x:c>
      <x:c r="G49" s="10" t="str">
        <x:v>baseline</x:v>
      </x:c>
      <x:c r="H49" s="10" t="n">
        <x:v>2050</x:v>
      </x:c>
      <x:c r="I49" s="10" t="str">
        <x:v>high</x:v>
      </x:c>
      <x:c r="J49" s="11" t="b">
        <x:v>1</x:v>
      </x:c>
      <x:c r="K49" s="10" t="str">
        <x:v>CFP-2026-003-R17-20260804T234500Z</x:v>
      </x:c>
      <x:c r="L4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49" s="14" t="n">
        <x:v>-85.76780622175431</x:v>
      </x:c>
      <x:c r="N49" s="12" t="n">
        <x:v>676608329467.1913</x:v>
      </x:c>
      <x:c r="O49" s="12" t="n">
        <x:v>96296208569.52168</x:v>
      </x:c>
      <x:c r="P49" s="12" t="n">
        <x:v>37562427566.9594</x:v>
      </x:c>
      <x:c r="Q49" s="12" t="n">
        <x:v>0</x:v>
      </x:c>
      <x:c r="R49" s="12" t="n">
        <x:v>-37562427566.9594</x:v>
      </x:c>
      <x:c r="S49" s="12" t="n">
        <x:v>24046905786.56586</x:v>
      </x:c>
      <x:c r="T49" s="14" t="n">
        <x:v>133.85856047040033</x:v>
      </x:c>
      <x:c r="U49" s="14" t="n">
        <x:v>0.9346785036291771</x:v>
      </x:c>
      <x:c r="V49" s="14" t="n">
        <x:v>3.1369828747354243</x:v>
      </x:c>
      <x:c r="W49" s="12" t="n">
        <x:v>50280524818.86867</x:v>
      </x:c>
      <x:c r="X49" s="12" t="n">
        <x:v>351087935.9096496</x:v>
      </x:c>
      <x:c r="Y49" s="12" t="n">
        <x:v>1178326920.1104143</x:v>
      </x:c>
      <x:c r="Z49" s="14" t="n">
        <x:v>-83.92874834641275</x:v>
      </x:c>
      <x:c r="AA49" s="14" t="n">
        <x:v>-0.5660491492106192</x:v>
      </x:c>
      <x:c r="AB49" s="14" t="n">
        <x:v>-1.2730087261309253</x:v>
      </x:c>
      <x:c r="AC49" s="12" t="n">
        <x:v>46263598877.84077</x:v>
      </x:c>
      <x:c r="AD49" s="12" t="n">
        <x:v>2335422058.7371545</x:v>
      </x:c>
      <x:c r="AE49" s="12" t="n">
        <x:v>1681503882.2907512</x:v>
      </x:c>
      <x:c r="AF49" s="12" t="n">
        <x:v>142177296.57083622</x:v>
      </x:c>
      <x:c r="AG49" s="12" t="n">
        <x:v>208910639.33881336</x:v>
      </x:c>
      <x:c r="AH49" s="13" t="n">
        <x:v>104000000</x:v>
      </x:c>
      <x:c r="AI49" s="13" t="n">
        <x:v>7000000</x:v>
      </x:c>
      <x:c r="AJ49" s="13" t="n">
        <x:v>630000000</x:v>
      </x:c>
      <x:c r="AK49" s="12" t="n">
        <x:v>299373000000</x:v>
      </x:c>
      <x:c r="AL49" s="14" t="n">
        <x:v>0.18613243120519987</x:v>
      </x:c>
      <x:c r="AM49" s="13" t="n">
        <x:v>49</x:v>
      </x:c>
      <x:c r="AN49" s="13" t="n">
        <x:v>68</x:v>
      </x:c>
      <x:c r="AO49" s="14" t="n">
        <x:v>72.05882352941177</x:v>
      </x:c>
      <x:c r="AP49" s="10" t="str">
        <x:v>Medium</x:v>
      </x:c>
      <x:c r="AQ49" s="10" t="str">
        <x:v>Issuer facility-to-FEMA county match</x:v>
      </x:c>
      <x:c r="AR49" s="14" t="n">
        <x:v>0.18613243120519987</x:v>
      </x:c>
      <x:c r="AS49" s="14" t="n">
        <x:v>6.952114548720453</x:v>
      </x:c>
      <x:c r="AT49" s="14" t="n">
        <x:v>0</x:v>
      </x:c>
      <x:c r="AU49" s="14" t="n">
        <x:v>5.418008975739499</x:v>
      </x:c>
      <x:c r="AV49" s="14" t="n">
        <x:v>1.7999999999999998</x:v>
      </x:c>
      <x:c r="AW49" s="10" t="n">
        <x:v>1</x:v>
      </x:c>
      <x:c r="AX49" s="10" t="n">
        <x:v>0.3</x:v>
      </x:c>
      <x:c r="AY49" s="10" t="n">
        <x:v>0.75</x:v>
      </x:c>
      <x:c r="AZ49" s="10" t="n">
        <x:v>0.006</x:v>
      </x:c>
      <x:c r="BA49" s="10" t="n">
        <x:v>0.01</x:v>
      </x:c>
      <x:c r="BB49" s="10" t="n">
        <x:v>0.6075</x:v>
      </x:c>
      <x:c r="BC49" s="10" t="n">
        <x:v>0.3</x:v>
      </x:c>
      <x:c r="BD49" s="10" t="n">
        <x:v>0.2</x:v>
      </x:c>
      <x:c r="BE49" s="10" t="n">
        <x:v>0.4</x:v>
      </x:c>
      <x:c r="BF49" s="10" t="n">
        <x:v>0.6</x:v>
      </x:c>
      <x:c r="BG49" s="10" t="n">
        <x:v>1</x:v>
      </x:c>
      <x:c r="BH49" s="10" t="n">
        <x:v>1.0456609582451413</x:v>
      </x:c>
      <x:c r="BI49" s="10" t="str">
        <x:v>Common scenario elasticity + issuer SEC CapEx/CFO dependency scale</x:v>
      </x:c>
      <x:c r="BJ49" s="10" t="str">
        <x:v>Modeled estimate using observed inputs + disclosed assumptions</x:v>
      </x:c>
      <x:c r="BK49" s="11" t="b">
        <x:v>0</x:v>
      </x:c>
      <x:c r="BL49" s="11" t="b">
        <x:v>0</x:v>
      </x:c>
      <x:c r="BM49" s="11" t="b">
        <x:v>0</x:v>
      </x:c>
      <x:c r="BN49" s="10" t="str">
        <x:v>Conditional scenario sensitivity; not a forecast or probability</x:v>
      </x:c>
      <x:c r="BO49" s="14" t="n">
        <x:v>702.6323668586697</x:v>
      </x:c>
    </x:row>
    <x:row r="50" ht="18" customHeight="1">
      <x:c r="A50" s="10" t="str">
        <x:v>AAPL</x:v>
      </x:c>
      <x:c r="B50" s="10" t="str">
        <x:v>Technology</x:v>
      </x:c>
      <x:c r="C50" s="10" t="str">
        <x:v>below2c_vs_cp</x:v>
      </x:c>
      <x:c r="D50" s="10" t="str">
        <x:v>Below 2°C vs Current Policies</x:v>
      </x:c>
      <x:c r="E50" s="10" t="str">
        <x:v>Below 2°C vs CP</x:v>
      </x:c>
      <x:c r="F50" s="10" t="str">
        <x:v>below_2c</x:v>
      </x:c>
      <x:c r="G50" s="10" t="str">
        <x:v>current_policies</x:v>
      </x:c>
      <x:c r="H50" s="10" t="n">
        <x:v>2050</x:v>
      </x:c>
      <x:c r="I50" s="10" t="str">
        <x:v>low</x:v>
      </x:c>
      <x:c r="J50" s="11" t="b">
        <x:v>1</x:v>
      </x:c>
      <x:c r="K50" s="10" t="str">
        <x:v>CFP-2026-003-R17-20260804T234500Z</x:v>
      </x:c>
      <x:c r="L5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0" s="14" t="n">
        <x:v>0.021811744638133845</x:v>
      </x:c>
      <x:c r="N50" s="12" t="n">
        <x:v>1507718300934.697</x:v>
      </x:c>
      <x:c r="O50" s="12" t="n">
        <x:v>1508047160600.3594</x:v>
      </x:c>
      <x:c r="P50" s="12" t="n">
        <x:v>189627574241.53833</x:v>
      </x:c>
      <x:c r="Q50" s="12" t="n">
        <x:v>189713947479.75287</x:v>
      </x:c>
      <x:c r="R50" s="12" t="n">
        <x:v>86373238.21453857</x:v>
      </x:c>
      <x:c r="S50" s="12" t="n">
        <x:v>102784466009.31221</x:v>
      </x:c>
      <x:c r="T50" s="14" t="n">
        <x:v>0.0010273649020662587</x:v>
      </x:c>
      <x:c r="U50" s="14" t="n">
        <x:v>-0.003370367292142324</x:v>
      </x:c>
      <x:c r="V50" s="14" t="n">
        <x:v>-0.042983800075348425</x:v>
      </x:c>
      <x:c r="W50" s="12" t="n">
        <x:v>1957712.1833624276</x:v>
      </x:c>
      <x:c r="X50" s="12" t="n">
        <x:v>-6422459.144713625</x:v>
      </x:c>
      <x:c r="Y50" s="12" t="n">
        <x:v>-81908491.25318599</x:v>
      </x:c>
      <x:c r="Z50" s="14" t="n">
        <x:v>-0.0013446471025409502</x:v>
      </x:c>
      <x:c r="AA50" s="14" t="n">
        <x:v>0.0013043167051469764</x:v>
      </x:c>
      <x:c r="AB50" s="14" t="n">
        <x:v>0.021852075035532267</x:v>
      </x:c>
      <x:c r="AC50" s="12" t="n">
        <x:v>301669.9351569712</x:v>
      </x:c>
      <x:c r="AD50" s="12" t="n">
        <x:v>4508.6539221829935</x:v>
      </x:c>
      <x:c r="AE50" s="12" t="n">
        <x:v>1651533.5942832734</x:v>
      </x:c>
      <x:c r="AF50" s="12" t="n">
        <x:v>-489972.89683648315</x:v>
      </x:c>
      <x:c r="AG50" s="12" t="n">
        <x:v>-5932486.247877151</x:v>
      </x:c>
      <x:c r="AH50" s="13" t="n">
        <x:v>55200</x:v>
      </x:c>
      <x:c r="AI50" s="13" t="n">
        <x:v>3300</x:v>
      </x:c>
      <x:c r="AJ50" s="13" t="n">
        <x:v>15110000</x:v>
      </x:c>
      <x:c r="AK50" s="12" t="n">
        <x:v>50159000000</x:v>
      </x:c>
      <x:c r="AL50" s="14" t="n">
        <x:v>0.18089619337783003</x:v>
      </x:c>
      <x:c r="AM50" s="13" t="n">
        <x:v>0</x:v>
      </x:c>
      <x:c r="AN50" s="13" t="n">
        <x:v>0</x:v>
      </x:c>
      <x:c r="AO50" s="14"/>
      <x:c r="AP50" s="10" t="str">
        <x:v>Unverified</x:v>
      </x:c>
      <x:c r="AQ50" s="10" t="str">
        <x:v>Proxy fallback; no issuer facilities in governed match file</x:v>
      </x:c>
      <x:c r="AR50" s="14"/>
      <x:c r="AS50" s="14" t="n">
        <x:v>7.164771051868868</x:v>
      </x:c>
      <x:c r="AT50" s="14" t="n">
        <x:v>7.579869737287252</x:v>
      </x:c>
      <x:c r="AU50" s="14" t="n">
        <x:v>9.468635607765986</x:v>
      </x:c>
      <x:c r="AV50" s="14" t="n">
        <x:v>2.5</x:v>
      </x:c>
      <x:c r="AW50" s="10" t="n">
        <x:v>0.5</x:v>
      </x:c>
      <x:c r="AX50" s="10" t="n">
        <x:v>0.7</x:v>
      </x:c>
      <x:c r="AY50" s="10" t="n">
        <x:v>0.25</x:v>
      </x:c>
      <x:c r="AZ50" s="10" t="n">
        <x:v>0.01</x:v>
      </x:c>
      <x:c r="BA50" s="10" t="n">
        <x:v>0.05</x:v>
      </x:c>
      <x:c r="BB50" s="10" t="n">
        <x:v>0.06</x:v>
      </x:c>
      <x:c r="BC50" s="10" t="n">
        <x:v>0.7</x:v>
      </x:c>
      <x:c r="BD50" s="10" t="n">
        <x:v>0.05</x:v>
      </x:c>
      <x:c r="BE50" s="10" t="n">
        <x:v>0.15</x:v>
      </x:c>
      <x:c r="BF50" s="10" t="n">
        <x:v>0.7</x:v>
      </x:c>
      <x:c r="BG50" s="10" t="n">
        <x:v>0.35</x:v>
      </x:c>
      <x:c r="BH50" s="10" t="n">
        <x:v>0.6140542867906926</x:v>
      </x:c>
      <x:c r="BI50" s="10" t="str">
        <x:v>Common scenario elasticity + issuer SEC CapEx/CFO dependency scale</x:v>
      </x:c>
      <x:c r="BJ50" s="10" t="str">
        <x:v>Modeled estimate using observed inputs + disclosed assumptions</x:v>
      </x:c>
      <x:c r="BK50" s="11" t="b">
        <x:v>0</x:v>
      </x:c>
      <x:c r="BL50" s="11" t="b">
        <x:v>0</x:v>
      </x:c>
      <x:c r="BM50" s="11" t="b">
        <x:v>0</x:v>
      </x:c>
      <x:c r="BN50" s="10" t="str">
        <x:v>Conditional scenario sensitivity; not a forecast or probability</x:v>
      </x:c>
      <x:c r="BO50" s="14" t="n">
        <x:v>99.97819301184643</x:v>
      </x:c>
    </x:row>
    <x:row r="51" ht="18" customHeight="1">
      <x:c r="A51" s="10" t="str">
        <x:v>AAPL</x:v>
      </x:c>
      <x:c r="B51" s="10" t="str">
        <x:v>Technology</x:v>
      </x:c>
      <x:c r="C51" s="10" t="str">
        <x:v>below2c_vs_cp</x:v>
      </x:c>
      <x:c r="D51" s="10" t="str">
        <x:v>Below 2°C vs Current Policies</x:v>
      </x:c>
      <x:c r="E51" s="10" t="str">
        <x:v>Below 2°C vs CP</x:v>
      </x:c>
      <x:c r="F51" s="10" t="str">
        <x:v>below_2c</x:v>
      </x:c>
      <x:c r="G51" s="10" t="str">
        <x:v>current_policies</x:v>
      </x:c>
      <x:c r="H51" s="10" t="n">
        <x:v>2050</x:v>
      </x:c>
      <x:c r="I51" s="10" t="str">
        <x:v>base</x:v>
      </x:c>
      <x:c r="J51" s="11" t="b">
        <x:v>1</x:v>
      </x:c>
      <x:c r="K51" s="10" t="str">
        <x:v>CFP-2026-003-R17-20260804T234500Z</x:v>
      </x:c>
      <x:c r="L5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1" s="14" t="n">
        <x:v>0.03618869003534364</x:v>
      </x:c>
      <x:c r="N51" s="12" t="n">
        <x:v>1503457561146.2407</x:v>
      </x:c>
      <x:c r="O51" s="12" t="n">
        <x:v>1504001642742.857</x:v>
      </x:c>
      <x:c r="P51" s="12" t="n">
        <x:v>188786699408.97568</x:v>
      </x:c>
      <x:c r="Q51" s="12" t="n">
        <x:v>188937674735.42075</x:v>
      </x:c>
      <x:c r="R51" s="12" t="n">
        <x:v>150975326.44506836</x:v>
      </x:c>
      <x:c r="S51" s="12" t="n">
        <x:v>102784466009.31221</x:v>
      </x:c>
      <x:c r="T51" s="14" t="n">
        <x:v>0.00554964612486828</x:v>
      </x:c>
      <x:c r="U51" s="14" t="n">
        <x:v>-0.011091709222971986</x:v>
      </x:c>
      <x:c r="V51" s="14" t="n">
        <x:v>-0.07368651441488303</x:v>
      </x:c>
      <x:c r="W51" s="12" t="n">
        <x:v>10575219.973111378</x:v>
      </x:c>
      <x:c r="X51" s="12" t="n">
        <x:v>-21135989.984136343</x:v>
      </x:c>
      <x:c r="Y51" s="12" t="n">
        <x:v>-140414556.43403316</x:v>
      </x:c>
      <x:c r="Z51" s="14" t="n">
        <x:v>-0.005651178089313839</x:v>
      </x:c>
      <x:c r="AA51" s="14" t="n">
        <x:v>0.004273005908350268</x:v>
      </x:c>
      <x:c r="AB51" s="14" t="n">
        <x:v>0.037566862216311246</x:v>
      </x:c>
      <x:c r="AC51" s="12" t="n">
        <x:v>1269624.4082700142</x:v>
      </x:c>
      <x:c r="AD51" s="12" t="n">
        <x:v>37950.7295950276</x:v>
      </x:c>
      <x:c r="AE51" s="12" t="n">
        <x:v>9267644.835246338</x:v>
      </x:c>
      <x:c r="AF51" s="12" t="n">
        <x:v>-1361035.8245457867</x:v>
      </x:c>
      <x:c r="AG51" s="12" t="n">
        <x:v>-19774954.159590542</x:v>
      </x:c>
      <x:c r="AH51" s="13" t="n">
        <x:v>55200</x:v>
      </x:c>
      <x:c r="AI51" s="13" t="n">
        <x:v>3300</x:v>
      </x:c>
      <x:c r="AJ51" s="13" t="n">
        <x:v>15110000</x:v>
      </x:c>
      <x:c r="AK51" s="12" t="n">
        <x:v>50159000000</x:v>
      </x:c>
      <x:c r="AL51" s="14" t="n">
        <x:v>0.18089619337783003</x:v>
      </x:c>
      <x:c r="AM51" s="13" t="n">
        <x:v>0</x:v>
      </x:c>
      <x:c r="AN51" s="13" t="n">
        <x:v>0</x:v>
      </x:c>
      <x:c r="AO51" s="14"/>
      <x:c r="AP51" s="10" t="str">
        <x:v>Unverified</x:v>
      </x:c>
      <x:c r="AQ51" s="10" t="str">
        <x:v>Proxy fallback; no issuer facilities in governed match file</x:v>
      </x:c>
      <x:c r="AR51" s="14"/>
      <x:c r="AS51" s="14" t="n">
        <x:v>7.164771051868868</x:v>
      </x:c>
      <x:c r="AT51" s="14" t="n">
        <x:v>7.579869737287252</x:v>
      </x:c>
      <x:c r="AU51" s="14" t="n">
        <x:v>9.468635607765986</x:v>
      </x:c>
      <x:c r="AV51" s="14" t="n">
        <x:v>2.5</x:v>
      </x:c>
      <x:c r="AW51" s="10" t="n">
        <x:v>0.75</x:v>
      </x:c>
      <x:c r="AX51" s="10" t="n">
        <x:v>0.5</x:v>
      </x:c>
      <x:c r="AY51" s="10" t="n">
        <x:v>0.5</x:v>
      </x:c>
      <x:c r="AZ51" s="10" t="n">
        <x:v>0.02</x:v>
      </x:c>
      <x:c r="BA51" s="10" t="n">
        <x:v>0.03</x:v>
      </x:c>
      <x:c r="BB51" s="10" t="n">
        <x:v>0.1</x:v>
      </x:c>
      <x:c r="BC51" s="10" t="n">
        <x:v>0.5</x:v>
      </x:c>
      <x:c r="BD51" s="10" t="n">
        <x:v>0.1</x:v>
      </x:c>
      <x:c r="BE51" s="10" t="n">
        <x:v>0.25</x:v>
      </x:c>
      <x:c r="BF51" s="10" t="n">
        <x:v>0.7</x:v>
      </x:c>
      <x:c r="BG51" s="10" t="n">
        <x:v>0.6</x:v>
      </x:c>
      <x:c r="BH51" s="10" t="n">
        <x:v>0.6140542867906926</x:v>
      </x:c>
      <x:c r="BI51" s="10" t="str">
        <x:v>Common scenario elasticity + issuer SEC CapEx/CFO dependency scale</x:v>
      </x:c>
      <x:c r="BJ51" s="10" t="str">
        <x:v>Modeled estimate using observed inputs + disclosed assumptions</x:v>
      </x:c>
      <x:c r="BK51" s="11" t="b">
        <x:v>0</x:v>
      </x:c>
      <x:c r="BL51" s="11" t="b">
        <x:v>0</x:v>
      </x:c>
      <x:c r="BM51" s="11" t="b">
        <x:v>0</x:v>
      </x:c>
      <x:c r="BN51" s="10" t="str">
        <x:v>Conditional scenario sensitivity; not a forecast or probability</x:v>
      </x:c>
      <x:c r="BO51" s="14" t="n">
        <x:v>99.96382440143988</x:v>
      </x:c>
    </x:row>
    <x:row r="52" ht="18" customHeight="1">
      <x:c r="A52" s="10" t="str">
        <x:v>AAPL</x:v>
      </x:c>
      <x:c r="B52" s="10" t="str">
        <x:v>Technology</x:v>
      </x:c>
      <x:c r="C52" s="10" t="str">
        <x:v>below2c_vs_cp</x:v>
      </x:c>
      <x:c r="D52" s="10" t="str">
        <x:v>Below 2°C vs Current Policies</x:v>
      </x:c>
      <x:c r="E52" s="10" t="str">
        <x:v>Below 2°C vs CP</x:v>
      </x:c>
      <x:c r="F52" s="10" t="str">
        <x:v>below_2c</x:v>
      </x:c>
      <x:c r="G52" s="10" t="str">
        <x:v>current_policies</x:v>
      </x:c>
      <x:c r="H52" s="10" t="n">
        <x:v>2050</x:v>
      </x:c>
      <x:c r="I52" s="10" t="str">
        <x:v>high</x:v>
      </x:c>
      <x:c r="J52" s="11" t="b">
        <x:v>1</x:v>
      </x:c>
      <x:c r="K52" s="10" t="str">
        <x:v>CFP-2026-003-R17-20260804T234500Z</x:v>
      </x:c>
      <x:c r="L5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2" s="14" t="n">
        <x:v>0.05581092689785905</x:v>
      </x:c>
      <x:c r="N52" s="12" t="n">
        <x:v>1493721609019.9338</x:v>
      </x:c>
      <x:c r="O52" s="12" t="n">
        <x:v>1494555268895.2014</x:v>
      </x:c>
      <x:c r="P52" s="12" t="n">
        <x:v>187051543444.54913</x:v>
      </x:c>
      <x:c r="Q52" s="12" t="n">
        <x:v>187304072459.6418</x:v>
      </x:c>
      <x:c r="R52" s="12" t="n">
        <x:v>252529015.09268188</x:v>
      </x:c>
      <x:c r="S52" s="12" t="n">
        <x:v>102784466009.31221</x:v>
      </x:c>
      <x:c r="T52" s="14" t="n">
        <x:v>0.02484691854987531</x:v>
      </x:c>
      <x:c r="U52" s="14" t="n">
        <x:v>-0.034557812378869186</x:v>
      </x:c>
      <x:c r="V52" s="14" t="n">
        <x:v>-0.12281085735813843</x:v>
      </x:c>
      <x:c r="W52" s="12" t="n">
        <x:v>47347456.64979667</x:v>
      </x:c>
      <x:c r="X52" s="12" t="n">
        <x:v>-65852211.019081354</x:v>
      </x:c>
      <x:c r="Y52" s="12" t="n">
        <x:v>-234024260.72338867</x:v>
      </x:c>
      <x:c r="Z52" s="14" t="n">
        <x:v>-0.02039753574039804</x:v>
      </x:c>
      <x:c r="AA52" s="14" t="n">
        <x:v>0.013188929517540053</x:v>
      </x:c>
      <x:c r="AB52" s="14" t="n">
        <x:v>0.06301953312071294</x:v>
      </x:c>
      <x:c r="AC52" s="12" t="n">
        <x:v>3947558.2178284577</x:v>
      </x:c>
      <x:c r="AD52" s="12" t="n">
        <x:v>176996.49617980854</x:v>
      </x:c>
      <x:c r="AE52" s="12" t="n">
        <x:v>43222901.9357884</x:v>
      </x:c>
      <x:c r="AF52" s="12" t="n">
        <x:v>-2572357.708391536</x:v>
      </x:c>
      <x:c r="AG52" s="12" t="n">
        <x:v>-63279853.31068969</x:v>
      </x:c>
      <x:c r="AH52" s="13" t="n">
        <x:v>55200</x:v>
      </x:c>
      <x:c r="AI52" s="13" t="n">
        <x:v>3300</x:v>
      </x:c>
      <x:c r="AJ52" s="13" t="n">
        <x:v>15110000</x:v>
      </x:c>
      <x:c r="AK52" s="12" t="n">
        <x:v>50159000000</x:v>
      </x:c>
      <x:c r="AL52" s="14" t="n">
        <x:v>0.18089619337783003</x:v>
      </x:c>
      <x:c r="AM52" s="13" t="n">
        <x:v>0</x:v>
      </x:c>
      <x:c r="AN52" s="13" t="n">
        <x:v>0</x:v>
      </x:c>
      <x:c r="AO52" s="14"/>
      <x:c r="AP52" s="10" t="str">
        <x:v>Unverified</x:v>
      </x:c>
      <x:c r="AQ52" s="10" t="str">
        <x:v>Proxy fallback; no issuer facilities in governed match file</x:v>
      </x:c>
      <x:c r="AR52" s="14"/>
      <x:c r="AS52" s="14" t="n">
        <x:v>7.164771051868868</x:v>
      </x:c>
      <x:c r="AT52" s="14" t="n">
        <x:v>7.579869737287252</x:v>
      </x:c>
      <x:c r="AU52" s="14" t="n">
        <x:v>9.468635607765986</x:v>
      </x:c>
      <x:c r="AV52" s="14" t="n">
        <x:v>2.5</x:v>
      </x:c>
      <x:c r="AW52" s="10" t="n">
        <x:v>1</x:v>
      </x:c>
      <x:c r="AX52" s="10" t="n">
        <x:v>0.3</x:v>
      </x:c>
      <x:c r="AY52" s="10" t="n">
        <x:v>0.75</x:v>
      </x:c>
      <x:c r="AZ52" s="10" t="n">
        <x:v>0.04</x:v>
      </x:c>
      <x:c r="BA52" s="10" t="n">
        <x:v>0.01</x:v>
      </x:c>
      <x:c r="BB52" s="10" t="n">
        <x:v>0.135</x:v>
      </x:c>
      <x:c r="BC52" s="10" t="n">
        <x:v>0.3</x:v>
      </x:c>
      <x:c r="BD52" s="10" t="n">
        <x:v>0.2</x:v>
      </x:c>
      <x:c r="BE52" s="10" t="n">
        <x:v>0.4</x:v>
      </x:c>
      <x:c r="BF52" s="10" t="n">
        <x:v>0.7</x:v>
      </x:c>
      <x:c r="BG52" s="10" t="n">
        <x:v>1</x:v>
      </x:c>
      <x:c r="BH52" s="10" t="n">
        <x:v>0.6140542867906926</x:v>
      </x:c>
      <x:c r="BI52" s="10" t="str">
        <x:v>Common scenario elasticity + issuer SEC CapEx/CFO dependency scale</x:v>
      </x:c>
      <x:c r="BJ52" s="10" t="str">
        <x:v>Modeled estimate using observed inputs + disclosed assumptions</x:v>
      </x:c>
      <x:c r="BK52" s="11" t="b">
        <x:v>0</x:v>
      </x:c>
      <x:c r="BL52" s="11" t="b">
        <x:v>0</x:v>
      </x:c>
      <x:c r="BM52" s="11" t="b">
        <x:v>0</x:v>
      </x:c>
      <x:c r="BN52" s="10" t="str">
        <x:v>Conditional scenario sensitivity; not a forecast or probability</x:v>
      </x:c>
      <x:c r="BO52" s="14" t="n">
        <x:v>99.94422020432313</x:v>
      </x:c>
    </x:row>
    <x:row r="53" ht="18" customHeight="1">
      <x:c r="A53" s="10" t="str">
        <x:v>CAT</x:v>
      </x:c>
      <x:c r="B53" s="10" t="str">
        <x:v>Industrials</x:v>
      </x:c>
      <x:c r="C53" s="10" t="str">
        <x:v>below2c_vs_cp</x:v>
      </x:c>
      <x:c r="D53" s="10" t="str">
        <x:v>Below 2°C vs Current Policies</x:v>
      </x:c>
      <x:c r="E53" s="10" t="str">
        <x:v>Below 2°C vs CP</x:v>
      </x:c>
      <x:c r="F53" s="10" t="str">
        <x:v>below_2c</x:v>
      </x:c>
      <x:c r="G53" s="10" t="str">
        <x:v>current_policies</x:v>
      </x:c>
      <x:c r="H53" s="10" t="n">
        <x:v>2050</x:v>
      </x:c>
      <x:c r="I53" s="10" t="str">
        <x:v>low</x:v>
      </x:c>
      <x:c r="J53" s="11" t="b">
        <x:v>1</x:v>
      </x:c>
      <x:c r="K53" s="10" t="str">
        <x:v>CFP-2026-003-R17-20260804T234500Z</x:v>
      </x:c>
      <x:c r="L5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3" s="14" t="n">
        <x:v>-0.21494917429490945</x:v>
      </x:c>
      <x:c r="N53" s="12" t="n">
        <x:v>121296687019.01277</x:v>
      </x:c>
      <x:c r="O53" s="12" t="n">
        <x:v>121035960791.81833</x:v>
      </x:c>
      <x:c r="P53" s="12" t="n">
        <x:v>18219673443.99643</x:v>
      </x:c>
      <x:c r="Q53" s="12" t="n">
        <x:v>18195607973.500595</x:v>
      </x:c>
      <x:c r="R53" s="12" t="n">
        <x:v>-24065470.49583435</x:v>
      </x:c>
      <x:c r="S53" s="12" t="n">
        <x:v>10636693843.707409</x:v>
      </x:c>
      <x:c r="T53" s="14" t="n">
        <x:v>0.187645054307124</x:v>
      </x:c>
      <x:c r="U53" s="14" t="n">
        <x:v>-0.004508057173744168</x:v>
      </x:c>
      <x:c r="V53" s="14" t="n">
        <x:v>-0.05182170542635642</x:v>
      </x:c>
      <x:c r="W53" s="12" t="n">
        <x:v>34388733.09737757</x:v>
      </x:c>
      <x:c r="X53" s="12" t="n">
        <x:v>-826168.1902997047</x:v>
      </x:c>
      <x:c r="Y53" s="12" t="n">
        <x:v>-9497094.41124469</x:v>
      </x:c>
      <x:c r="Z53" s="14" t="n">
        <x:v>-0.23925635271163245</x:v>
      </x:c>
      <x:c r="AA53" s="14" t="n">
        <x:v>0.0016349255463849622</x:v>
      </x:c>
      <x:c r="AB53" s="14" t="n">
        <x:v>0.02267225287034285</x:v>
      </x:c>
      <x:c r="AC53" s="12" t="n">
        <x:v>3716223.8388902256</x:v>
      </x:c>
      <x:c r="AD53" s="12" t="n">
        <x:v>942718.547365535</x:v>
      </x:c>
      <x:c r="AE53" s="12" t="n">
        <x:v>29729790.711121805</x:v>
      </x:c>
      <x:c r="AF53" s="12" t="n">
        <x:v>-255620.86274152773</x:v>
      </x:c>
      <x:c r="AG53" s="12" t="n">
        <x:v>-570547.3275581766</x:v>
      </x:c>
      <x:c r="AH53" s="13" t="n">
        <x:v>680000</x:v>
      </x:c>
      <x:c r="AI53" s="13" t="n">
        <x:v>690000</x:v>
      </x:c>
      <x:c r="AJ53" s="13" t="n">
        <x:v>680000000</x:v>
      </x:c>
      <x:c r="AK53" s="12" t="n">
        <x:v>15140000000</x:v>
      </x:c>
      <x:c r="AL53" s="14" t="n">
        <x:v>0.1250652491518801</x:v>
      </x:c>
      <x:c r="AM53" s="13" t="n">
        <x:v>7</x:v>
      </x:c>
      <x:c r="AN53" s="13" t="n">
        <x:v>7</x:v>
      </x:c>
      <x:c r="AO53" s="14" t="n">
        <x:v>100</x:v>
      </x:c>
      <x:c r="AP53" s="10" t="str">
        <x:v>High</x:v>
      </x:c>
      <x:c r="AQ53" s="10" t="str">
        <x:v>Issuer facility-to-FEMA county match</x:v>
      </x:c>
      <x:c r="AR53" s="14" t="n">
        <x:v>0.1250652491518801</x:v>
      </x:c>
      <x:c r="AS53" s="14" t="n">
        <x:v>7.164771051868868</x:v>
      </x:c>
      <x:c r="AT53" s="14" t="n">
        <x:v>7.579869737287252</x:v>
      </x:c>
      <x:c r="AU53" s="14" t="n">
        <x:v>11.136677389433892</x:v>
      </x:c>
      <x:c r="AV53" s="14" t="n">
        <x:v>2.1999999999999997</x:v>
      </x:c>
      <x:c r="AW53" s="10" t="n">
        <x:v>0.5</x:v>
      </x:c>
      <x:c r="AX53" s="10" t="n">
        <x:v>0.7</x:v>
      </x:c>
      <x:c r="AY53" s="10" t="n">
        <x:v>0.25</x:v>
      </x:c>
      <x:c r="AZ53" s="10" t="n">
        <x:v>0.004</x:v>
      </x:c>
      <x:c r="BA53" s="10" t="n">
        <x:v>0.05</x:v>
      </x:c>
      <x:c r="BB53" s="10" t="n">
        <x:v>0.15</x:v>
      </x:c>
      <x:c r="BC53" s="10" t="n">
        <x:v>0.7</x:v>
      </x:c>
      <x:c r="BD53" s="10" t="n">
        <x:v>0.05</x:v>
      </x:c>
      <x:c r="BE53" s="10" t="n">
        <x:v>0.15</x:v>
      </x:c>
      <x:c r="BF53" s="10" t="n">
        <x:v>0.7</x:v>
      </x:c>
      <x:c r="BG53" s="10" t="n">
        <x:v>0.35</x:v>
      </x:c>
      <x:c r="BH53" s="10" t="n">
        <x:v>0.7403100775193798</x:v>
      </x:c>
      <x:c r="BI53" s="10" t="str">
        <x:v>Common scenario elasticity + issuer SEC CapEx/CFO dependency scale</x:v>
      </x:c>
      <x:c r="BJ53" s="10" t="str">
        <x:v>Modeled estimate using observed inputs + disclosed assumptions</x:v>
      </x:c>
      <x:c r="BK53" s="11" t="b">
        <x:v>0</x:v>
      </x:c>
      <x:c r="BL53" s="11" t="b">
        <x:v>0</x:v>
      </x:c>
      <x:c r="BM53" s="11" t="b">
        <x:v>0</x:v>
      </x:c>
      <x:c r="BN53" s="10" t="str">
        <x:v>Conditional scenario sensitivity; not a forecast or probability</x:v>
      </x:c>
      <x:c r="BO53" s="14" t="n">
        <x:v>100.21541220104237</x:v>
      </x:c>
    </x:row>
    <x:row r="54" ht="18" customHeight="1">
      <x:c r="A54" s="10" t="str">
        <x:v>CAT</x:v>
      </x:c>
      <x:c r="B54" s="10" t="str">
        <x:v>Industrials</x:v>
      </x:c>
      <x:c r="C54" s="10" t="str">
        <x:v>below2c_vs_cp</x:v>
      </x:c>
      <x:c r="D54" s="10" t="str">
        <x:v>Below 2°C vs Current Policies</x:v>
      </x:c>
      <x:c r="E54" s="10" t="str">
        <x:v>Below 2°C vs CP</x:v>
      </x:c>
      <x:c r="F54" s="10" t="str">
        <x:v>below_2c</x:v>
      </x:c>
      <x:c r="G54" s="10" t="str">
        <x:v>current_policies</x:v>
      </x:c>
      <x:c r="H54" s="10" t="n">
        <x:v>2050</x:v>
      </x:c>
      <x:c r="I54" s="10" t="str">
        <x:v>base</x:v>
      </x:c>
      <x:c r="J54" s="11" t="b">
        <x:v>1</x:v>
      </x:c>
      <x:c r="K54" s="10" t="str">
        <x:v>CFP-2026-003-R17-20260804T234500Z</x:v>
      </x:c>
      <x:c r="L5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4" s="14" t="n">
        <x:v>-0.9584513435582087</x:v>
      </x:c>
      <x:c r="N54" s="12" t="n">
        <x:v>120936406956.92093</x:v>
      </x:c>
      <x:c r="O54" s="12" t="n">
        <x:v>119777290339.5913</x:v>
      </x:c>
      <x:c r="P54" s="12" t="n">
        <x:v>18123449359.74854</x:v>
      </x:c>
      <x:c r="Q54" s="12" t="n">
        <x:v>17951936648.23201</x:v>
      </x:c>
      <x:c r="R54" s="12" t="n">
        <x:v>-171512711.51652908</x:v>
      </x:c>
      <x:c r="S54" s="12" t="n">
        <x:v>10636693843.707409</x:v>
      </x:c>
      <x:c r="T54" s="14" t="n">
        <x:v>1.0389629026474163</x:v>
      </x:c>
      <x:c r="U54" s="14" t="n">
        <x:v>-0.014251958894088122</x:v>
      </x:c>
      <x:c r="V54" s="14" t="n">
        <x:v>-0.08883720930232542</x:v>
      </x:c>
      <x:c r="W54" s="12" t="n">
        <x:v>190405327.17020413</x:v>
      </x:c>
      <x:c r="X54" s="12" t="n">
        <x:v>-2611882.377253711</x:v>
      </x:c>
      <x:c r="Y54" s="12" t="n">
        <x:v>-16280733.27641949</x:v>
      </x:c>
      <x:c r="Z54" s="14" t="n">
        <x:v>-1.0024883945819436</x:v>
      </x:c>
      <x:c r="AA54" s="14" t="n">
        <x:v>0.005054544484517719</x:v>
      </x:c>
      <x:c r="AB54" s="14" t="n">
        <x:v>0.038982506539213965</x:v>
      </x:c>
      <x:c r="AC54" s="12" t="n">
        <x:v>15640300.681587137</x:v>
      </x:c>
      <x:c r="AD54" s="12" t="n">
        <x:v>7935152.55168759</x:v>
      </x:c>
      <x:c r="AE54" s="12" t="n">
        <x:v>166829873.9369294</x:v>
      </x:c>
      <x:c r="AF54" s="12" t="n">
        <x:v>-710057.9520597993</x:v>
      </x:c>
      <x:c r="AG54" s="12" t="n">
        <x:v>-1901824.425193917</x:v>
      </x:c>
      <x:c r="AH54" s="13" t="n">
        <x:v>680000</x:v>
      </x:c>
      <x:c r="AI54" s="13" t="n">
        <x:v>690000</x:v>
      </x:c>
      <x:c r="AJ54" s="13" t="n">
        <x:v>680000000</x:v>
      </x:c>
      <x:c r="AK54" s="12" t="n">
        <x:v>15140000000</x:v>
      </x:c>
      <x:c r="AL54" s="14" t="n">
        <x:v>0.1250652491518801</x:v>
      </x:c>
      <x:c r="AM54" s="13" t="n">
        <x:v>7</x:v>
      </x:c>
      <x:c r="AN54" s="13" t="n">
        <x:v>7</x:v>
      </x:c>
      <x:c r="AO54" s="14" t="n">
        <x:v>100</x:v>
      </x:c>
      <x:c r="AP54" s="10" t="str">
        <x:v>High</x:v>
      </x:c>
      <x:c r="AQ54" s="10" t="str">
        <x:v>Issuer facility-to-FEMA county match</x:v>
      </x:c>
      <x:c r="AR54" s="14" t="n">
        <x:v>0.1250652491518801</x:v>
      </x:c>
      <x:c r="AS54" s="14" t="n">
        <x:v>7.164771051868868</x:v>
      </x:c>
      <x:c r="AT54" s="14" t="n">
        <x:v>7.579869737287252</x:v>
      </x:c>
      <x:c r="AU54" s="14" t="n">
        <x:v>11.136677389433892</x:v>
      </x:c>
      <x:c r="AV54" s="14" t="n">
        <x:v>2.1999999999999997</x:v>
      </x:c>
      <x:c r="AW54" s="10" t="n">
        <x:v>0.75</x:v>
      </x:c>
      <x:c r="AX54" s="10" t="n">
        <x:v>0.5</x:v>
      </x:c>
      <x:c r="AY54" s="10" t="n">
        <x:v>0.5</x:v>
      </x:c>
      <x:c r="AZ54" s="10" t="n">
        <x:v>0.008</x:v>
      </x:c>
      <x:c r="BA54" s="10" t="n">
        <x:v>0.03</x:v>
      </x:c>
      <x:c r="BB54" s="10" t="n">
        <x:v>0.25</x:v>
      </x:c>
      <x:c r="BC54" s="10" t="n">
        <x:v>0.5</x:v>
      </x:c>
      <x:c r="BD54" s="10" t="n">
        <x:v>0.1</x:v>
      </x:c>
      <x:c r="BE54" s="10" t="n">
        <x:v>0.25</x:v>
      </x:c>
      <x:c r="BF54" s="10" t="n">
        <x:v>0.7</x:v>
      </x:c>
      <x:c r="BG54" s="10" t="n">
        <x:v>0.6</x:v>
      </x:c>
      <x:c r="BH54" s="10" t="n">
        <x:v>0.7403100775193798</x:v>
      </x:c>
      <x:c r="BI54" s="10" t="str">
        <x:v>Common scenario elasticity + issuer SEC CapEx/CFO dependency scale</x:v>
      </x:c>
      <x:c r="BJ54" s="10" t="str">
        <x:v>Modeled estimate using observed inputs + disclosed assumptions</x:v>
      </x:c>
      <x:c r="BK54" s="11" t="b">
        <x:v>0</x:v>
      </x:c>
      <x:c r="BL54" s="11" t="b">
        <x:v>0</x:v>
      </x:c>
      <x:c r="BM54" s="11" t="b">
        <x:v>0</x:v>
      </x:c>
      <x:c r="BN54" s="10" t="str">
        <x:v>Conditional scenario sensitivity; not a forecast or probability</x:v>
      </x:c>
      <x:c r="BO54" s="14" t="n">
        <x:v>100.96772653150134</x:v>
      </x:c>
    </x:row>
    <x:row r="55" ht="18" customHeight="1">
      <x:c r="A55" s="10" t="str">
        <x:v>CAT</x:v>
      </x:c>
      <x:c r="B55" s="10" t="str">
        <x:v>Industrials</x:v>
      </x:c>
      <x:c r="C55" s="10" t="str">
        <x:v>below2c_vs_cp</x:v>
      </x:c>
      <x:c r="D55" s="10" t="str">
        <x:v>Below 2°C vs Current Policies</x:v>
      </x:c>
      <x:c r="E55" s="10" t="str">
        <x:v>Below 2°C vs CP</x:v>
      </x:c>
      <x:c r="F55" s="10" t="str">
        <x:v>below_2c</x:v>
      </x:c>
      <x:c r="G55" s="10" t="str">
        <x:v>current_policies</x:v>
      </x:c>
      <x:c r="H55" s="10" t="n">
        <x:v>2050</x:v>
      </x:c>
      <x:c r="I55" s="10" t="str">
        <x:v>high</x:v>
      </x:c>
      <x:c r="J55" s="11" t="b">
        <x:v>1</x:v>
      </x:c>
      <x:c r="K55" s="10" t="str">
        <x:v>CFP-2026-003-R17-20260804T234500Z</x:v>
      </x:c>
      <x:c r="L5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5" s="14" t="n">
        <x:v>-3.4807646846029217</x:v>
      </x:c>
      <x:c r="N55" s="12" t="n">
        <x:v>120111991518.46048</x:v>
      </x:c>
      <x:c r="O55" s="12" t="n">
        <x:v>115931175735.71265</x:v>
      </x:c>
      <x:c r="P55" s="12" t="n">
        <x:v>17925340955.849358</x:v>
      </x:c>
      <x:c r="Q55" s="12" t="n">
        <x:v>17096196214.510519</x:v>
      </x:c>
      <x:c r="R55" s="12" t="n">
        <x:v>-829144741.3388386</x:v>
      </x:c>
      <x:c r="S55" s="12" t="n">
        <x:v>10636693843.707409</x:v>
      </x:c>
      <x:c r="T55" s="14" t="n">
        <x:v>4.712891678046494</x:v>
      </x:c>
      <x:c r="U55" s="14" t="n">
        <x:v>-0.04053068425727877</x:v>
      </x:c>
      <x:c r="V55" s="14" t="n">
        <x:v>-0.14806201550387563</x:v>
      </x:c>
      <x:c r="W55" s="12" t="n">
        <x:v>863707144.4895507</x:v>
      </x:c>
      <x:c r="X55" s="12" t="n">
        <x:v>-7427847.690013573</x:v>
      </x:c>
      <x:c r="Y55" s="12" t="n">
        <x:v>-27134555.46069914</x:v>
      </x:c>
      <x:c r="Z55" s="14" t="n">
        <x:v>-3.559753584090085</x:v>
      </x:c>
      <x:c r="AA55" s="14" t="n">
        <x:v>0.013572113377417596</x:v>
      </x:c>
      <x:c r="AB55" s="14" t="n">
        <x:v>0.0654167861097426</x:v>
      </x:c>
      <x:c r="AC55" s="12" t="n">
        <x:v>48629340.36455347</x:v>
      </x:c>
      <x:c r="AD55" s="12" t="n">
        <x:v>37008358.292141795</x:v>
      </x:c>
      <x:c r="AE55" s="12" t="n">
        <x:v>778069445.8328555</x:v>
      </x:c>
      <x:c r="AF55" s="12" t="n">
        <x:v>-1342009.5293930206</x:v>
      </x:c>
      <x:c r="AG55" s="12" t="n">
        <x:v>-6085838.160620555</x:v>
      </x:c>
      <x:c r="AH55" s="13" t="n">
        <x:v>680000</x:v>
      </x:c>
      <x:c r="AI55" s="13" t="n">
        <x:v>690000</x:v>
      </x:c>
      <x:c r="AJ55" s="13" t="n">
        <x:v>680000000</x:v>
      </x:c>
      <x:c r="AK55" s="12" t="n">
        <x:v>15140000000</x:v>
      </x:c>
      <x:c r="AL55" s="14" t="n">
        <x:v>0.1250652491518801</x:v>
      </x:c>
      <x:c r="AM55" s="13" t="n">
        <x:v>7</x:v>
      </x:c>
      <x:c r="AN55" s="13" t="n">
        <x:v>7</x:v>
      </x:c>
      <x:c r="AO55" s="14" t="n">
        <x:v>100</x:v>
      </x:c>
      <x:c r="AP55" s="10" t="str">
        <x:v>High</x:v>
      </x:c>
      <x:c r="AQ55" s="10" t="str">
        <x:v>Issuer facility-to-FEMA county match</x:v>
      </x:c>
      <x:c r="AR55" s="14" t="n">
        <x:v>0.1250652491518801</x:v>
      </x:c>
      <x:c r="AS55" s="14" t="n">
        <x:v>7.164771051868868</x:v>
      </x:c>
      <x:c r="AT55" s="14" t="n">
        <x:v>7.579869737287252</x:v>
      </x:c>
      <x:c r="AU55" s="14" t="n">
        <x:v>11.136677389433892</x:v>
      </x:c>
      <x:c r="AV55" s="14" t="n">
        <x:v>2.1999999999999997</x:v>
      </x:c>
      <x:c r="AW55" s="10" t="n">
        <x:v>1</x:v>
      </x:c>
      <x:c r="AX55" s="10" t="n">
        <x:v>0.3</x:v>
      </x:c>
      <x:c r="AY55" s="10" t="n">
        <x:v>0.75</x:v>
      </x:c>
      <x:c r="AZ55" s="10" t="n">
        <x:v>0.016</x:v>
      </x:c>
      <x:c r="BA55" s="10" t="n">
        <x:v>0.01</x:v>
      </x:c>
      <x:c r="BB55" s="10" t="n">
        <x:v>0.3375</x:v>
      </x:c>
      <x:c r="BC55" s="10" t="n">
        <x:v>0.3</x:v>
      </x:c>
      <x:c r="BD55" s="10" t="n">
        <x:v>0.2</x:v>
      </x:c>
      <x:c r="BE55" s="10" t="n">
        <x:v>0.4</x:v>
      </x:c>
      <x:c r="BF55" s="10" t="n">
        <x:v>0.7</x:v>
      </x:c>
      <x:c r="BG55" s="10" t="n">
        <x:v>1</x:v>
      </x:c>
      <x:c r="BH55" s="10" t="n">
        <x:v>0.7403100775193798</x:v>
      </x:c>
      <x:c r="BI55" s="10" t="str">
        <x:v>Common scenario elasticity + issuer SEC CapEx/CFO dependency scale</x:v>
      </x:c>
      <x:c r="BJ55" s="10" t="str">
        <x:v>Modeled estimate using observed inputs + disclosed assumptions</x:v>
      </x:c>
      <x:c r="BK55" s="11" t="b">
        <x:v>0</x:v>
      </x:c>
      <x:c r="BL55" s="11" t="b">
        <x:v>0</x:v>
      </x:c>
      <x:c r="BM55" s="11" t="b">
        <x:v>0</x:v>
      </x:c>
      <x:c r="BN55" s="10" t="str">
        <x:v>Conditional scenario sensitivity; not a forecast or probability</x:v>
      </x:c>
      <x:c r="BO55" s="14" t="n">
        <x:v>103.60629119494035</x:v>
      </x:c>
    </x:row>
    <x:row r="56" ht="18" customHeight="1">
      <x:c r="A56" s="10" t="str">
        <x:v>CVX</x:v>
      </x:c>
      <x:c r="B56" s="10" t="str">
        <x:v>Energy</x:v>
      </x:c>
      <x:c r="C56" s="10" t="str">
        <x:v>below2c_vs_cp</x:v>
      </x:c>
      <x:c r="D56" s="10" t="str">
        <x:v>Below 2°C vs Current Policies</x:v>
      </x:c>
      <x:c r="E56" s="10" t="str">
        <x:v>Below 2°C vs CP</x:v>
      </x:c>
      <x:c r="F56" s="10" t="str">
        <x:v>below_2c</x:v>
      </x:c>
      <x:c r="G56" s="10" t="str">
        <x:v>current_policies</x:v>
      </x:c>
      <x:c r="H56" s="10" t="n">
        <x:v>2050</x:v>
      </x:c>
      <x:c r="I56" s="10" t="str">
        <x:v>low</x:v>
      </x:c>
      <x:c r="J56" s="11" t="b">
        <x:v>1</x:v>
      </x:c>
      <x:c r="K56" s="10" t="str">
        <x:v>CFP-2026-003-R17-20260804T234500Z</x:v>
      </x:c>
      <x:c r="L5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6" s="14" t="n">
        <x:v>-1.2001405457723213</x:v>
      </x:c>
      <x:c r="N56" s="12" t="n">
        <x:v>374300188320.6518</x:v>
      </x:c>
      <x:c r="O56" s="12" t="n">
        <x:v>369808059997.7135</x:v>
      </x:c>
      <x:c r="P56" s="12" t="n">
        <x:v>28060765134.98977</x:v>
      </x:c>
      <x:c r="Q56" s="12" t="n">
        <x:v>27791004664.290638</x:v>
      </x:c>
      <x:c r="R56" s="12" t="n">
        <x:v>-269760470.699131</x:v>
      </x:c>
      <x:c r="S56" s="12" t="n">
        <x:v>18142230456.32</x:v>
      </x:c>
      <x:c r="T56" s="14" t="n">
        <x:v>1.0856388112833837</x:v>
      </x:c>
      <x:c r="U56" s="14" t="n">
        <x:v>-0.06295614369673451</x:v>
      </x:c>
      <x:c r="V56" s="14" t="n">
        <x:v>-0.07077860278735373</x:v>
      </x:c>
      <x:c r="W56" s="12" t="n">
        <x:v>307659613.57965314</x:v>
      </x:c>
      <x:c r="X56" s="12" t="n">
        <x:v>-17841166.54719206</x:v>
      </x:c>
      <x:c r="Y56" s="12" t="n">
        <x:v>-20057976.333328515</x:v>
      </x:c>
      <x:c r="Z56" s="14" t="n">
        <x:v>-1.284284677582066</x:v>
      </x:c>
      <x:c r="AA56" s="14" t="n">
        <x:v>0.0412732227845333</x:v>
      </x:c>
      <x:c r="AB56" s="14" t="n">
        <x:v>0.04287090902521253</x:v>
      </x:c>
      <x:c r="AC56" s="12" t="n">
        <x:v>295111893.0883415</x:v>
      </x:c>
      <x:c r="AD56" s="12" t="n">
        <x:v>5465035.057191508</x:v>
      </x:c>
      <x:c r="AE56" s="12" t="n">
        <x:v>7082685.434120195</x:v>
      </x:c>
      <x:c r="AF56" s="12" t="n">
        <x:v>-16958904.18820636</x:v>
      </x:c>
      <x:c r="AG56" s="12" t="n">
        <x:v>-882262.3589857072</x:v>
      </x:c>
      <x:c r="AH56" s="13" t="n">
        <x:v>54000000</x:v>
      </x:c>
      <x:c r="AI56" s="13" t="n">
        <x:v>4000000</x:v>
      </x:c>
      <x:c r="AJ56" s="13" t="n">
        <x:v>432000000</x:v>
      </x:c>
      <x:c r="AK56" s="12" t="n">
        <x:v>219729000000</x:v>
      </x:c>
      <x:c r="AL56" s="14" t="n">
        <x:v>0.31761728843062803</x:v>
      </x:c>
      <x:c r="AM56" s="13" t="n">
        <x:v>34</x:v>
      </x:c>
      <x:c r="AN56" s="13" t="n">
        <x:v>53</x:v>
      </x:c>
      <x:c r="AO56" s="14" t="n">
        <x:v>64.15094339622641</x:v>
      </x:c>
      <x:c r="AP56" s="10" t="str">
        <x:v>Medium</x:v>
      </x:c>
      <x:c r="AQ56" s="10" t="str">
        <x:v>Issuer facility-to-FEMA county match</x:v>
      </x:c>
      <x:c r="AR56" s="14" t="n">
        <x:v>0.31761728843062803</x:v>
      </x:c>
      <x:c r="AS56" s="14" t="n">
        <x:v>7.164771051868868</x:v>
      </x:c>
      <x:c r="AT56" s="14" t="n">
        <x:v>7.579869737287252</x:v>
      </x:c>
      <x:c r="AU56" s="14" t="n">
        <x:v>6.7034090248596065</x:v>
      </x:c>
      <x:c r="AV56" s="14" t="n">
        <x:v>1.7999999999999998</x:v>
      </x:c>
      <x:c r="AW56" s="10" t="n">
        <x:v>0.5</x:v>
      </x:c>
      <x:c r="AX56" s="10" t="n">
        <x:v>0.7</x:v>
      </x:c>
      <x:c r="AY56" s="10" t="n">
        <x:v>0.25</x:v>
      </x:c>
      <x:c r="AZ56" s="10" t="n">
        <x:v>0.0015</x:v>
      </x:c>
      <x:c r="BA56" s="10" t="n">
        <x:v>0.05</x:v>
      </x:c>
      <x:c r="BB56" s="10" t="n">
        <x:v>0.27</x:v>
      </x:c>
      <x:c r="BC56" s="10" t="n">
        <x:v>0.7</x:v>
      </x:c>
      <x:c r="BD56" s="10" t="n">
        <x:v>0.05</x:v>
      </x:c>
      <x:c r="BE56" s="10" t="n">
        <x:v>0.15</x:v>
      </x:c>
      <x:c r="BF56" s="10" t="n">
        <x:v>0.7</x:v>
      </x:c>
      <x:c r="BG56" s="10" t="n">
        <x:v>0.35</x:v>
      </x:c>
      <x:c r="BH56" s="10" t="n">
        <x:v>1.0111228969621968</x:v>
      </x:c>
      <x:c r="BI56" s="10" t="str">
        <x:v>Common scenario elasticity + issuer SEC CapEx/CFO dependency scale</x:v>
      </x:c>
      <x:c r="BJ56" s="10" t="str">
        <x:v>Modeled estimate using observed inputs + disclosed assumptions</x:v>
      </x:c>
      <x:c r="BK56" s="11" t="b">
        <x:v>0</x:v>
      </x:c>
      <x:c r="BL56" s="11" t="b">
        <x:v>0</x:v>
      </x:c>
      <x:c r="BM56" s="11" t="b">
        <x:v>0</x:v>
      </x:c>
      <x:c r="BN56" s="10" t="str">
        <x:v>Conditional scenario sensitivity; not a forecast or probability</x:v>
      </x:c>
      <x:c r="BO56" s="14" t="n">
        <x:v>101.21471887956311</x:v>
      </x:c>
    </x:row>
    <x:row r="57" ht="18" customHeight="1">
      <x:c r="A57" s="10" t="str">
        <x:v>CVX</x:v>
      </x:c>
      <x:c r="B57" s="10" t="str">
        <x:v>Energy</x:v>
      </x:c>
      <x:c r="C57" s="10" t="str">
        <x:v>below2c_vs_cp</x:v>
      </x:c>
      <x:c r="D57" s="10" t="str">
        <x:v>Below 2°C vs Current Policies</x:v>
      </x:c>
      <x:c r="E57" s="10" t="str">
        <x:v>Below 2°C vs CP</x:v>
      </x:c>
      <x:c r="F57" s="10" t="str">
        <x:v>below_2c</x:v>
      </x:c>
      <x:c r="G57" s="10" t="str">
        <x:v>current_policies</x:v>
      </x:c>
      <x:c r="H57" s="10" t="n">
        <x:v>2050</x:v>
      </x:c>
      <x:c r="I57" s="10" t="str">
        <x:v>base</x:v>
      </x:c>
      <x:c r="J57" s="11" t="b">
        <x:v>1</x:v>
      </x:c>
      <x:c r="K57" s="10" t="str">
        <x:v>CFP-2026-003-R17-20260804T234500Z</x:v>
      </x:c>
      <x:c r="L5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7" s="14" t="n">
        <x:v>-4.37406498350369</x:v>
      </x:c>
      <x:c r="N57" s="12" t="n">
        <x:v>371659556223.3364</x:v>
      </x:c>
      <x:c r="O57" s="12" t="n">
        <x:v>355402925716.72626</x:v>
      </x:c>
      <x:c r="P57" s="12" t="n">
        <x:v>27762645856.760303</x:v>
      </x:c>
      <x:c r="Q57" s="12" t="n">
        <x:v>26519310374.667393</x:v>
      </x:c>
      <x:c r="R57" s="12" t="n">
        <x:v>-1243335482.0929108</x:v>
      </x:c>
      <x:c r="S57" s="12" t="n">
        <x:v>18142230456.32</x:v>
      </x:c>
      <x:c r="T57" s="14" t="n">
        <x:v>4.685301763203868</x:v>
      </x:c>
      <x:c r="U57" s="14" t="n">
        <x:v>-0.17660775479128354</x:v>
      </x:c>
      <x:c r="V57" s="14" t="n">
        <x:v>-0.12133474763546359</x:v>
      </x:c>
      <x:c r="W57" s="12" t="n">
        <x:v>1327769526.0980327</x:v>
      </x:c>
      <x:c r="X57" s="12" t="n">
        <x:v>-50048941.71941444</x:v>
      </x:c>
      <x:c r="Y57" s="12" t="n">
        <x:v>-34385102.28570604</x:v>
      </x:c>
      <x:c r="Z57" s="14" t="n">
        <x:v>-4.564386519747297</x:v>
      </x:c>
      <x:c r="AA57" s="14" t="n">
        <x:v>0.11630638346082478</x:v>
      </x:c>
      <x:c r="AB57" s="14" t="n">
        <x:v>0.0740151527827825</x:v>
      </x:c>
      <x:c r="AC57" s="12" t="n">
        <x:v>1242023877.655449</x:v>
      </x:c>
      <x:c r="AD57" s="12" t="n">
        <x:v>46000884.35760923</x:v>
      </x:c>
      <x:c r="AE57" s="12" t="n">
        <x:v>39744764.08497436</x:v>
      </x:c>
      <x:c r="AF57" s="12" t="n">
        <x:v>-47108067.189462095</x:v>
      </x:c>
      <x:c r="AG57" s="12" t="n">
        <x:v>-2940874.5299523547</x:v>
      </x:c>
      <x:c r="AH57" s="13" t="n">
        <x:v>54000000</x:v>
      </x:c>
      <x:c r="AI57" s="13" t="n">
        <x:v>4000000</x:v>
      </x:c>
      <x:c r="AJ57" s="13" t="n">
        <x:v>432000000</x:v>
      </x:c>
      <x:c r="AK57" s="12" t="n">
        <x:v>219729000000</x:v>
      </x:c>
      <x:c r="AL57" s="14" t="n">
        <x:v>0.31761728843062803</x:v>
      </x:c>
      <x:c r="AM57" s="13" t="n">
        <x:v>34</x:v>
      </x:c>
      <x:c r="AN57" s="13" t="n">
        <x:v>53</x:v>
      </x:c>
      <x:c r="AO57" s="14" t="n">
        <x:v>64.15094339622641</x:v>
      </x:c>
      <x:c r="AP57" s="10" t="str">
        <x:v>Medium</x:v>
      </x:c>
      <x:c r="AQ57" s="10" t="str">
        <x:v>Issuer facility-to-FEMA county match</x:v>
      </x:c>
      <x:c r="AR57" s="14" t="n">
        <x:v>0.31761728843062803</x:v>
      </x:c>
      <x:c r="AS57" s="14" t="n">
        <x:v>7.164771051868868</x:v>
      </x:c>
      <x:c r="AT57" s="14" t="n">
        <x:v>7.579869737287252</x:v>
      </x:c>
      <x:c r="AU57" s="14" t="n">
        <x:v>6.7034090248596065</x:v>
      </x:c>
      <x:c r="AV57" s="14" t="n">
        <x:v>1.7999999999999998</x:v>
      </x:c>
      <x:c r="AW57" s="10" t="n">
        <x:v>0.75</x:v>
      </x:c>
      <x:c r="AX57" s="10" t="n">
        <x:v>0.5</x:v>
      </x:c>
      <x:c r="AY57" s="10" t="n">
        <x:v>0.5</x:v>
      </x:c>
      <x:c r="AZ57" s="10" t="n">
        <x:v>0.003</x:v>
      </x:c>
      <x:c r="BA57" s="10" t="n">
        <x:v>0.03</x:v>
      </x:c>
      <x:c r="BB57" s="10" t="n">
        <x:v>0.45</x:v>
      </x:c>
      <x:c r="BC57" s="10" t="n">
        <x:v>0.5</x:v>
      </x:c>
      <x:c r="BD57" s="10" t="n">
        <x:v>0.1</x:v>
      </x:c>
      <x:c r="BE57" s="10" t="n">
        <x:v>0.25</x:v>
      </x:c>
      <x:c r="BF57" s="10" t="n">
        <x:v>0.7</x:v>
      </x:c>
      <x:c r="BG57" s="10" t="n">
        <x:v>0.6</x:v>
      </x:c>
      <x:c r="BH57" s="10" t="n">
        <x:v>1.0111228969621968</x:v>
      </x:c>
      <x:c r="BI57" s="10" t="str">
        <x:v>Common scenario elasticity + issuer SEC CapEx/CFO dependency scale</x:v>
      </x:c>
      <x:c r="BJ57" s="10" t="str">
        <x:v>Modeled estimate using observed inputs + disclosed assumptions</x:v>
      </x:c>
      <x:c r="BK57" s="11" t="b">
        <x:v>0</x:v>
      </x:c>
      <x:c r="BL57" s="11" t="b">
        <x:v>0</x:v>
      </x:c>
      <x:c r="BM57" s="11" t="b">
        <x:v>0</x:v>
      </x:c>
      <x:c r="BN57" s="10" t="str">
        <x:v>Conditional scenario sensitivity; not a forecast or probability</x:v>
      </x:c>
      <x:c r="BO57" s="14" t="n">
        <x:v>104.57414087794189</x:v>
      </x:c>
    </x:row>
    <x:row r="58" ht="18" customHeight="1">
      <x:c r="A58" s="10" t="str">
        <x:v>CVX</x:v>
      </x:c>
      <x:c r="B58" s="10" t="str">
        <x:v>Energy</x:v>
      </x:c>
      <x:c r="C58" s="10" t="str">
        <x:v>below2c_vs_cp</x:v>
      </x:c>
      <x:c r="D58" s="10" t="str">
        <x:v>Below 2°C vs Current Policies</x:v>
      </x:c>
      <x:c r="E58" s="10" t="str">
        <x:v>Below 2°C vs CP</x:v>
      </x:c>
      <x:c r="F58" s="10" t="str">
        <x:v>below_2c</x:v>
      </x:c>
      <x:c r="G58" s="10" t="str">
        <x:v>current_policies</x:v>
      </x:c>
      <x:c r="H58" s="10" t="n">
        <x:v>2050</x:v>
      </x:c>
      <x:c r="I58" s="10" t="str">
        <x:v>high</x:v>
      </x:c>
      <x:c r="J58" s="11" t="b">
        <x:v>1</x:v>
      </x:c>
      <x:c r="K58" s="10" t="str">
        <x:v>CFP-2026-003-R17-20260804T234500Z</x:v>
      </x:c>
      <x:c r="L5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8" s="14" t="n">
        <x:v>-12.181975463907179</x:v>
      </x:c>
      <x:c r="N58" s="12" t="n">
        <x:v>366744980197.5056</x:v>
      </x:c>
      <x:c r="O58" s="12" t="n">
        <x:v>322068196694.73425</x:v>
      </x:c>
      <x:c r="P58" s="12" t="n">
        <x:v>27227312859.984547</x:v>
      </x:c>
      <x:c r="Q58" s="12" t="n">
        <x:v>23121419863.683178</x:v>
      </x:c>
      <x:c r="R58" s="12" t="n">
        <x:v>-4105892996.3013687</x:v>
      </x:c>
      <x:c r="S58" s="12" t="n">
        <x:v>18142230456.32</x:v>
      </x:c>
      <x:c r="T58" s="14" t="n">
        <x:v>15.038076775948545</x:v>
      </x:c>
      <x:c r="U58" s="14" t="n">
        <x:v>-0.34738313850297803</x:v>
      </x:c>
      <x:c r="V58" s="14" t="n">
        <x:v>-0.20222457939243926</x:v>
      </x:c>
      <x:c r="W58" s="12" t="n">
        <x:v>4261646545.5948086</x:v>
      </x:c>
      <x:c r="X58" s="12" t="n">
        <x:v>-98445045.48393089</x:v>
      </x:c>
      <x:c r="Y58" s="12" t="n">
        <x:v>-57308503.80951005</x:v>
      </x:c>
      <x:c r="Z58" s="14" t="n">
        <x:v>-12.536474394137153</x:v>
      </x:c>
      <x:c r="AA58" s="14" t="n">
        <x:v>0.22948727216432185</x:v>
      </x:c>
      <x:c r="AB58" s="14" t="n">
        <x:v>0.1250116580656584</x:v>
      </x:c>
      <x:c r="AC58" s="12" t="n">
        <x:v>3861741734.8321867</x:v>
      </x:c>
      <x:c r="AD58" s="12" t="n">
        <x:v>214541207.49067706</x:v>
      </x:c>
      <x:c r="AE58" s="12" t="n">
        <x:v>185363603.27194497</x:v>
      </x:c>
      <x:c r="AF58" s="12" t="n">
        <x:v>-89034246.98808336</x:v>
      </x:c>
      <x:c r="AG58" s="12" t="n">
        <x:v>-9410798.495847553</x:v>
      </x:c>
      <x:c r="AH58" s="13" t="n">
        <x:v>54000000</x:v>
      </x:c>
      <x:c r="AI58" s="13" t="n">
        <x:v>4000000</x:v>
      </x:c>
      <x:c r="AJ58" s="13" t="n">
        <x:v>432000000</x:v>
      </x:c>
      <x:c r="AK58" s="12" t="n">
        <x:v>219729000000</x:v>
      </x:c>
      <x:c r="AL58" s="14" t="n">
        <x:v>0.31761728843062803</x:v>
      </x:c>
      <x:c r="AM58" s="13" t="n">
        <x:v>34</x:v>
      </x:c>
      <x:c r="AN58" s="13" t="n">
        <x:v>53</x:v>
      </x:c>
      <x:c r="AO58" s="14" t="n">
        <x:v>64.15094339622641</x:v>
      </x:c>
      <x:c r="AP58" s="10" t="str">
        <x:v>Medium</x:v>
      </x:c>
      <x:c r="AQ58" s="10" t="str">
        <x:v>Issuer facility-to-FEMA county match</x:v>
      </x:c>
      <x:c r="AR58" s="14" t="n">
        <x:v>0.31761728843062803</x:v>
      </x:c>
      <x:c r="AS58" s="14" t="n">
        <x:v>7.164771051868868</x:v>
      </x:c>
      <x:c r="AT58" s="14" t="n">
        <x:v>7.579869737287252</x:v>
      </x:c>
      <x:c r="AU58" s="14" t="n">
        <x:v>6.7034090248596065</x:v>
      </x:c>
      <x:c r="AV58" s="14" t="n">
        <x:v>1.7999999999999998</x:v>
      </x:c>
      <x:c r="AW58" s="10" t="n">
        <x:v>1</x:v>
      </x:c>
      <x:c r="AX58" s="10" t="n">
        <x:v>0.3</x:v>
      </x:c>
      <x:c r="AY58" s="10" t="n">
        <x:v>0.75</x:v>
      </x:c>
      <x:c r="AZ58" s="10" t="n">
        <x:v>0.006</x:v>
      </x:c>
      <x:c r="BA58" s="10" t="n">
        <x:v>0.01</x:v>
      </x:c>
      <x:c r="BB58" s="10" t="n">
        <x:v>0.6075</x:v>
      </x:c>
      <x:c r="BC58" s="10" t="n">
        <x:v>0.3</x:v>
      </x:c>
      <x:c r="BD58" s="10" t="n">
        <x:v>0.2</x:v>
      </x:c>
      <x:c r="BE58" s="10" t="n">
        <x:v>0.4</x:v>
      </x:c>
      <x:c r="BF58" s="10" t="n">
        <x:v>0.7</x:v>
      </x:c>
      <x:c r="BG58" s="10" t="n">
        <x:v>1</x:v>
      </x:c>
      <x:c r="BH58" s="10" t="n">
        <x:v>1.0111228969621968</x:v>
      </x:c>
      <x:c r="BI58" s="10" t="str">
        <x:v>Common scenario elasticity + issuer SEC CapEx/CFO dependency scale</x:v>
      </x:c>
      <x:c r="BJ58" s="10" t="str">
        <x:v>Modeled estimate using observed inputs + disclosed assumptions</x:v>
      </x:c>
      <x:c r="BK58" s="11" t="b">
        <x:v>0</x:v>
      </x:c>
      <x:c r="BL58" s="11" t="b">
        <x:v>0</x:v>
      </x:c>
      <x:c r="BM58" s="11" t="b">
        <x:v>0</x:v>
      </x:c>
      <x:c r="BN58" s="10" t="str">
        <x:v>Conditional scenario sensitivity; not a forecast or probability</x:v>
      </x:c>
      <x:c r="BO58" s="14" t="n">
        <x:v>113.87183955487457</x:v>
      </x:c>
    </x:row>
    <x:row r="59" ht="18" customHeight="1">
      <x:c r="A59" s="10" t="str">
        <x:v>DE</x:v>
      </x:c>
      <x:c r="B59" s="10" t="str">
        <x:v>Industrials</x:v>
      </x:c>
      <x:c r="C59" s="10" t="str">
        <x:v>below2c_vs_cp</x:v>
      </x:c>
      <x:c r="D59" s="10" t="str">
        <x:v>Below 2°C vs Current Policies</x:v>
      </x:c>
      <x:c r="E59" s="10" t="str">
        <x:v>Below 2°C vs CP</x:v>
      </x:c>
      <x:c r="F59" s="10" t="str">
        <x:v>below_2c</x:v>
      </x:c>
      <x:c r="G59" s="10" t="str">
        <x:v>current_policies</x:v>
      </x:c>
      <x:c r="H59" s="10" t="n">
        <x:v>2050</x:v>
      </x:c>
      <x:c r="I59" s="10" t="str">
        <x:v>low</x:v>
      </x:c>
      <x:c r="J59" s="11" t="b">
        <x:v>1</x:v>
      </x:c>
      <x:c r="K59" s="10" t="str">
        <x:v>CFP-2026-003-R17-20260804T234500Z</x:v>
      </x:c>
      <x:c r="L5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59" s="14" t="n">
        <x:v>-0.01969737406013472</x:v>
      </x:c>
      <x:c r="N59" s="12" t="n">
        <x:v>155527017150.50055</x:v>
      </x:c>
      <x:c r="O59" s="12" t="n">
        <x:v>155496382412.16785</x:v>
      </x:c>
      <x:c r="P59" s="12" t="n">
        <x:v>14791068126.262678</x:v>
      </x:c>
      <x:c r="Q59" s="12" t="n">
        <x:v>14792935311.326485</x:v>
      </x:c>
      <x:c r="R59" s="12" t="n">
        <x:v>1867185.0638065338</x:v>
      </x:c>
      <x:c r="S59" s="12" t="n">
        <x:v>8631149592.456448</x:v>
      </x:c>
      <x:c r="T59" s="14" t="n">
        <x:v>0.039093720214915376</x:v>
      </x:c>
      <x:c r="U59" s="14" t="n">
        <x:v>-0.003886471232826912</x:v>
      </x:c>
      <x:c r="V59" s="14" t="n">
        <x:v>-0.04776310497385707</x:v>
      </x:c>
      <x:c r="W59" s="12" t="n">
        <x:v>5813638.7134196395</x:v>
      </x:c>
      <x:c r="X59" s="12" t="n">
        <x:v>-577958.2882760242</x:v>
      </x:c>
      <x:c r="Y59" s="12" t="n">
        <x:v>-7102865.488948777</x:v>
      </x:c>
      <x:c r="Z59" s="14" t="n">
        <x:v>-0.048608281250048124</x:v>
      </x:c>
      <x:c r="AA59" s="14" t="n">
        <x:v>0.001860586134553798</x:v>
      </x:c>
      <x:c r="AB59" s="14" t="n">
        <x:v>0.02705032105536046</x:v>
      </x:c>
      <x:c r="AC59" s="12" t="n">
        <x:v>1934075.9067400747</x:v>
      </x:c>
      <x:c r="AD59" s="12" t="n">
        <x:v>306041.96320272447</x:v>
      </x:c>
      <x:c r="AE59" s="12" t="n">
        <x:v>3573520.8434768408</x:v>
      </x:c>
      <x:c r="AF59" s="12" t="n">
        <x:v>-114987.42476431909</x:v>
      </x:c>
      <x:c r="AG59" s="12" t="n">
        <x:v>-462970.86351170484</x:v>
      </x:c>
      <x:c r="AH59" s="13" t="n">
        <x:v>353900</x:v>
      </x:c>
      <x:c r="AI59" s="13" t="n">
        <x:v>224000</x:v>
      </x:c>
      <x:c r="AJ59" s="13" t="n">
        <x:v>81736000</x:v>
      </x:c>
      <x:c r="AK59" s="12" t="n">
        <x:v>8079000000</x:v>
      </x:c>
      <x:c r="AL59" s="14" t="n">
        <x:v>0.1054287290454164</x:v>
      </x:c>
      <x:c r="AM59" s="13" t="n">
        <x:v>1</x:v>
      </x:c>
      <x:c r="AN59" s="13" t="n">
        <x:v>1</x:v>
      </x:c>
      <x:c r="AO59" s="14" t="n">
        <x:v>100</x:v>
      </x:c>
      <x:c r="AP59" s="10" t="str">
        <x:v>High</x:v>
      </x:c>
      <x:c r="AQ59" s="10" t="str">
        <x:v>Issuer facility-to-FEMA county match</x:v>
      </x:c>
      <x:c r="AR59" s="14" t="n">
        <x:v>0.1054287290454164</x:v>
      </x:c>
      <x:c r="AS59" s="14" t="n">
        <x:v>7.164771051868868</x:v>
      </x:c>
      <x:c r="AT59" s="14" t="n">
        <x:v>7.579869737287252</x:v>
      </x:c>
      <x:c r="AU59" s="14" t="n">
        <x:v>7.853230639934694</x:v>
      </x:c>
      <x:c r="AV59" s="14" t="n">
        <x:v>2.1999999999999997</x:v>
      </x:c>
      <x:c r="AW59" s="10" t="n">
        <x:v>0.5</x:v>
      </x:c>
      <x:c r="AX59" s="10" t="n">
        <x:v>0.7</x:v>
      </x:c>
      <x:c r="AY59" s="10" t="n">
        <x:v>0.25</x:v>
      </x:c>
      <x:c r="AZ59" s="10" t="n">
        <x:v>0.004</x:v>
      </x:c>
      <x:c r="BA59" s="10" t="n">
        <x:v>0.05</x:v>
      </x:c>
      <x:c r="BB59" s="10" t="n">
        <x:v>0.15</x:v>
      </x:c>
      <x:c r="BC59" s="10" t="n">
        <x:v>0.7</x:v>
      </x:c>
      <x:c r="BD59" s="10" t="n">
        <x:v>0.05</x:v>
      </x:c>
      <x:c r="BE59" s="10" t="n">
        <x:v>0.15</x:v>
      </x:c>
      <x:c r="BF59" s="10" t="n">
        <x:v>0.7</x:v>
      </x:c>
      <x:c r="BG59" s="10" t="n">
        <x:v>0.35</x:v>
      </x:c>
      <x:c r="BH59" s="10" t="n">
        <x:v>0.6823300710551012</x:v>
      </x:c>
      <x:c r="BI59" s="10" t="str">
        <x:v>Common scenario elasticity + issuer SEC CapEx/CFO dependency scale</x:v>
      </x:c>
      <x:c r="BJ59" s="10" t="str">
        <x:v>Modeled estimate using observed inputs + disclosed assumptions</x:v>
      </x:c>
      <x:c r="BK59" s="11" t="b">
        <x:v>0</x:v>
      </x:c>
      <x:c r="BL59" s="11" t="b">
        <x:v>0</x:v>
      </x:c>
      <x:c r="BM59" s="11" t="b">
        <x:v>0</x:v>
      </x:c>
      <x:c r="BN59" s="10" t="str">
        <x:v>Conditional scenario sensitivity; not a forecast or probability</x:v>
      </x:c>
      <x:c r="BO59" s="14" t="n">
        <x:v>100.01970125468998</x:v>
      </x:c>
    </x:row>
    <x:row r="60" ht="18" customHeight="1">
      <x:c r="A60" s="10" t="str">
        <x:v>DE</x:v>
      </x:c>
      <x:c r="B60" s="10" t="str">
        <x:v>Industrials</x:v>
      </x:c>
      <x:c r="C60" s="10" t="str">
        <x:v>below2c_vs_cp</x:v>
      </x:c>
      <x:c r="D60" s="10" t="str">
        <x:v>Below 2°C vs Current Policies</x:v>
      </x:c>
      <x:c r="E60" s="10" t="str">
        <x:v>Below 2°C vs CP</x:v>
      </x:c>
      <x:c r="F60" s="10" t="str">
        <x:v>below_2c</x:v>
      </x:c>
      <x:c r="G60" s="10" t="str">
        <x:v>current_policies</x:v>
      </x:c>
      <x:c r="H60" s="10" t="n">
        <x:v>2050</x:v>
      </x:c>
      <x:c r="I60" s="10" t="str">
        <x:v>base</x:v>
      </x:c>
      <x:c r="J60" s="11" t="b">
        <x:v>1</x:v>
      </x:c>
      <x:c r="K60" s="10" t="str">
        <x:v>CFP-2026-003-R17-20260804T234500Z</x:v>
      </x:c>
      <x:c r="L6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0" s="14" t="n">
        <x:v>-0.15383675445798106</x:v>
      </x:c>
      <x:c r="N60" s="12" t="n">
        <x:v>155022687887.38293</x:v>
      </x:c>
      <x:c r="O60" s="12" t="n">
        <x:v>154784206015.66345</x:v>
      </x:c>
      <x:c r="P60" s="12" t="n">
        <x:v>14719515886.594145</x:v>
      </x:c>
      <x:c r="Q60" s="12" t="n">
        <x:v>14702786016.29896</x:v>
      </x:c>
      <x:c r="R60" s="12" t="n">
        <x:v>-16729870.29518509</x:v>
      </x:c>
      <x:c r="S60" s="12" t="n">
        <x:v>8631149592.456448</x:v>
      </x:c>
      <x:c r="T60" s="14" t="n">
        <x:v>0.20690468407944096</x:v>
      </x:c>
      <x:c r="U60" s="14" t="n">
        <x:v>-0.012525331280429172</x:v>
      </x:c>
      <x:c r="V60" s="14" t="n">
        <x:v>-0.0818796085266121</x:v>
      </x:c>
      <x:c r="W60" s="12" t="n">
        <x:v>30768856.858323988</x:v>
      </x:c>
      <x:c r="X60" s="12" t="n">
        <x:v>-1862645.7249399088</x:v>
      </x:c>
      <x:c r="Y60" s="12" t="n">
        <x:v>-12176340.838197902</x:v>
      </x:c>
      <x:c r="Z60" s="14" t="n">
        <x:v>-0.20630374276344585</x:v>
      </x:c>
      <x:c r="AA60" s="14" t="n">
        <x:v>0.005944149203252142</x:v>
      </x:c>
      <x:c r="AB60" s="14" t="n">
        <x:v>0.046522839102208294</x:v>
      </x:c>
      <x:c r="AC60" s="12" t="n">
        <x:v>8139856.487078951</x:v>
      </x:c>
      <x:c r="AD60" s="12" t="n">
        <x:v>2576049.524026116</x:v>
      </x:c>
      <x:c r="AE60" s="12" t="n">
        <x:v>20052950.84721892</x:v>
      </x:c>
      <x:c r="AF60" s="12" t="n">
        <x:v>-319409.51323421975</x:v>
      </x:c>
      <x:c r="AG60" s="12" t="n">
        <x:v>-1543236.2117056884</x:v>
      </x:c>
      <x:c r="AH60" s="13" t="n">
        <x:v>353900</x:v>
      </x:c>
      <x:c r="AI60" s="13" t="n">
        <x:v>224000</x:v>
      </x:c>
      <x:c r="AJ60" s="13" t="n">
        <x:v>81736000</x:v>
      </x:c>
      <x:c r="AK60" s="12" t="n">
        <x:v>8079000000</x:v>
      </x:c>
      <x:c r="AL60" s="14" t="n">
        <x:v>0.1054287290454164</x:v>
      </x:c>
      <x:c r="AM60" s="13" t="n">
        <x:v>1</x:v>
      </x:c>
      <x:c r="AN60" s="13" t="n">
        <x:v>1</x:v>
      </x:c>
      <x:c r="AO60" s="14" t="n">
        <x:v>100</x:v>
      </x:c>
      <x:c r="AP60" s="10" t="str">
        <x:v>High</x:v>
      </x:c>
      <x:c r="AQ60" s="10" t="str">
        <x:v>Issuer facility-to-FEMA county match</x:v>
      </x:c>
      <x:c r="AR60" s="14" t="n">
        <x:v>0.1054287290454164</x:v>
      </x:c>
      <x:c r="AS60" s="14" t="n">
        <x:v>7.164771051868868</x:v>
      </x:c>
      <x:c r="AT60" s="14" t="n">
        <x:v>7.579869737287252</x:v>
      </x:c>
      <x:c r="AU60" s="14" t="n">
        <x:v>7.853230639934694</x:v>
      </x:c>
      <x:c r="AV60" s="14" t="n">
        <x:v>2.1999999999999997</x:v>
      </x:c>
      <x:c r="AW60" s="10" t="n">
        <x:v>0.75</x:v>
      </x:c>
      <x:c r="AX60" s="10" t="n">
        <x:v>0.5</x:v>
      </x:c>
      <x:c r="AY60" s="10" t="n">
        <x:v>0.5</x:v>
      </x:c>
      <x:c r="AZ60" s="10" t="n">
        <x:v>0.008</x:v>
      </x:c>
      <x:c r="BA60" s="10" t="n">
        <x:v>0.03</x:v>
      </x:c>
      <x:c r="BB60" s="10" t="n">
        <x:v>0.25</x:v>
      </x:c>
      <x:c r="BC60" s="10" t="n">
        <x:v>0.5</x:v>
      </x:c>
      <x:c r="BD60" s="10" t="n">
        <x:v>0.1</x:v>
      </x:c>
      <x:c r="BE60" s="10" t="n">
        <x:v>0.25</x:v>
      </x:c>
      <x:c r="BF60" s="10" t="n">
        <x:v>0.7</x:v>
      </x:c>
      <x:c r="BG60" s="10" t="n">
        <x:v>0.6</x:v>
      </x:c>
      <x:c r="BH60" s="10" t="n">
        <x:v>0.6823300710551012</x:v>
      </x:c>
      <x:c r="BI60" s="10" t="str">
        <x:v>Common scenario elasticity + issuer SEC CapEx/CFO dependency scale</x:v>
      </x:c>
      <x:c r="BJ60" s="10" t="str">
        <x:v>Modeled estimate using observed inputs + disclosed assumptions</x:v>
      </x:c>
      <x:c r="BK60" s="11" t="b">
        <x:v>0</x:v>
      </x:c>
      <x:c r="BL60" s="11" t="b">
        <x:v>0</x:v>
      </x:c>
      <x:c r="BM60" s="11" t="b">
        <x:v>0</x:v>
      </x:c>
      <x:c r="BN60" s="10" t="str">
        <x:v>Conditional scenario sensitivity; not a forecast or probability</x:v>
      </x:c>
      <x:c r="BO60" s="14" t="n">
        <x:v>100.15407377655532</x:v>
      </x:c>
    </x:row>
    <x:row r="61" ht="18" customHeight="1">
      <x:c r="A61" s="10" t="str">
        <x:v>DE</x:v>
      </x:c>
      <x:c r="B61" s="10" t="str">
        <x:v>Industrials</x:v>
      </x:c>
      <x:c r="C61" s="10" t="str">
        <x:v>below2c_vs_cp</x:v>
      </x:c>
      <x:c r="D61" s="10" t="str">
        <x:v>Below 2°C vs Current Policies</x:v>
      </x:c>
      <x:c r="E61" s="10" t="str">
        <x:v>Below 2°C vs CP</x:v>
      </x:c>
      <x:c r="F61" s="10" t="str">
        <x:v>below_2c</x:v>
      </x:c>
      <x:c r="G61" s="10" t="str">
        <x:v>current_policies</x:v>
      </x:c>
      <x:c r="H61" s="10" t="n">
        <x:v>2050</x:v>
      </x:c>
      <x:c r="I61" s="10" t="str">
        <x:v>high</x:v>
      </x:c>
      <x:c r="J61" s="11" t="b">
        <x:v>1</x:v>
      </x:c>
      <x:c r="K61" s="10" t="str">
        <x:v>CFP-2026-003-R17-20260804T234500Z</x:v>
      </x:c>
      <x:c r="L6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1" s="14" t="n">
        <x:v>-0.6342943541699286</x:v>
      </x:c>
      <x:c r="N61" s="12" t="n">
        <x:v>153908129949.6505</x:v>
      </x:c>
      <x:c r="O61" s="12" t="n">
        <x:v>152931899370.77136</x:v>
      </x:c>
      <x:c r="P61" s="12" t="n">
        <x:v>14573752226.475845</x:v>
      </x:c>
      <x:c r="Q61" s="12" t="n">
        <x:v>14468741201.611408</x:v>
      </x:c>
      <x:c r="R61" s="12" t="n">
        <x:v>-105011024.8644371</x:v>
      </x:c>
      <x:c r="S61" s="12" t="n">
        <x:v>8631149592.456448</x:v>
      </x:c>
      <x:c r="T61" s="14" t="n">
        <x:v>0.8798783234698253</x:v>
      </x:c>
      <x:c r="U61" s="14" t="n">
        <x:v>-0.03726735806746318</x:v>
      </x:c>
      <x:c r="V61" s="14" t="n">
        <x:v>-0.13646601421102034</x:v>
      </x:c>
      <x:c r="W61" s="12" t="n">
        <x:v>130846966.11890401</x:v>
      </x:c>
      <x:c r="X61" s="12" t="n">
        <x:v>-5542039.85747087</x:v>
      </x:c>
      <x:c r="Y61" s="12" t="n">
        <x:v>-20293901.396996528</x:v>
      </x:c>
      <x:c r="Z61" s="14" t="n">
        <x:v>-0.7297189893954884</x:v>
      </x:c>
      <x:c r="AA61" s="14" t="n">
        <x:v>0.017325061926668422</x:v>
      </x:c>
      <x:c r="AB61" s="14" t="n">
        <x:v>0.07809957329889128</x:v>
      </x:c>
      <x:c r="AC61" s="12" t="n">
        <x:v>25308711.110316873</x:v>
      </x:c>
      <x:c r="AD61" s="12" t="n">
        <x:v>12014307.619477917</x:v>
      </x:c>
      <x:c r="AE61" s="12" t="n">
        <x:v>93523947.38910921</x:v>
      </x:c>
      <x:c r="AF61" s="12" t="n">
        <x:v>-603683.9800126753</x:v>
      </x:c>
      <x:c r="AG61" s="12" t="n">
        <x:v>-4938355.8774582</x:v>
      </x:c>
      <x:c r="AH61" s="13" t="n">
        <x:v>353900</x:v>
      </x:c>
      <x:c r="AI61" s="13" t="n">
        <x:v>224000</x:v>
      </x:c>
      <x:c r="AJ61" s="13" t="n">
        <x:v>81736000</x:v>
      </x:c>
      <x:c r="AK61" s="12" t="n">
        <x:v>8079000000</x:v>
      </x:c>
      <x:c r="AL61" s="14" t="n">
        <x:v>0.1054287290454164</x:v>
      </x:c>
      <x:c r="AM61" s="13" t="n">
        <x:v>1</x:v>
      </x:c>
      <x:c r="AN61" s="13" t="n">
        <x:v>1</x:v>
      </x:c>
      <x:c r="AO61" s="14" t="n">
        <x:v>100</x:v>
      </x:c>
      <x:c r="AP61" s="10" t="str">
        <x:v>High</x:v>
      </x:c>
      <x:c r="AQ61" s="10" t="str">
        <x:v>Issuer facility-to-FEMA county match</x:v>
      </x:c>
      <x:c r="AR61" s="14" t="n">
        <x:v>0.1054287290454164</x:v>
      </x:c>
      <x:c r="AS61" s="14" t="n">
        <x:v>7.164771051868868</x:v>
      </x:c>
      <x:c r="AT61" s="14" t="n">
        <x:v>7.579869737287252</x:v>
      </x:c>
      <x:c r="AU61" s="14" t="n">
        <x:v>7.853230639934694</x:v>
      </x:c>
      <x:c r="AV61" s="14" t="n">
        <x:v>2.1999999999999997</x:v>
      </x:c>
      <x:c r="AW61" s="10" t="n">
        <x:v>1</x:v>
      </x:c>
      <x:c r="AX61" s="10" t="n">
        <x:v>0.3</x:v>
      </x:c>
      <x:c r="AY61" s="10" t="n">
        <x:v>0.75</x:v>
      </x:c>
      <x:c r="AZ61" s="10" t="n">
        <x:v>0.016</x:v>
      </x:c>
      <x:c r="BA61" s="10" t="n">
        <x:v>0.01</x:v>
      </x:c>
      <x:c r="BB61" s="10" t="n">
        <x:v>0.3375</x:v>
      </x:c>
      <x:c r="BC61" s="10" t="n">
        <x:v>0.3</x:v>
      </x:c>
      <x:c r="BD61" s="10" t="n">
        <x:v>0.2</x:v>
      </x:c>
      <x:c r="BE61" s="10" t="n">
        <x:v>0.4</x:v>
      </x:c>
      <x:c r="BF61" s="10" t="n">
        <x:v>0.7</x:v>
      </x:c>
      <x:c r="BG61" s="10" t="n">
        <x:v>1</x:v>
      </x:c>
      <x:c r="BH61" s="10" t="n">
        <x:v>0.6823300710551012</x:v>
      </x:c>
      <x:c r="BI61" s="10" t="str">
        <x:v>Common scenario elasticity + issuer SEC CapEx/CFO dependency scale</x:v>
      </x:c>
      <x:c r="BJ61" s="10" t="str">
        <x:v>Modeled estimate using observed inputs + disclosed assumptions</x:v>
      </x:c>
      <x:c r="BK61" s="11" t="b">
        <x:v>0</x:v>
      </x:c>
      <x:c r="BL61" s="11" t="b">
        <x:v>0</x:v>
      </x:c>
      <x:c r="BM61" s="11" t="b">
        <x:v>0</x:v>
      </x:c>
      <x:c r="BN61" s="10" t="str">
        <x:v>Conditional scenario sensitivity; not a forecast or probability</x:v>
      </x:c>
      <x:c r="BO61" s="14" t="n">
        <x:v>100.63834332987152</x:v>
      </x:c>
    </x:row>
    <x:row r="62" ht="18" customHeight="1">
      <x:c r="A62" s="10" t="str">
        <x:v>DUK</x:v>
      </x:c>
      <x:c r="B62" s="10" t="str">
        <x:v>Utilities</x:v>
      </x:c>
      <x:c r="C62" s="10" t="str">
        <x:v>below2c_vs_cp</x:v>
      </x:c>
      <x:c r="D62" s="10" t="str">
        <x:v>Below 2°C vs Current Policies</x:v>
      </x:c>
      <x:c r="E62" s="10" t="str">
        <x:v>Below 2°C vs CP</x:v>
      </x:c>
      <x:c r="F62" s="10" t="str">
        <x:v>below_2c</x:v>
      </x:c>
      <x:c r="G62" s="10" t="str">
        <x:v>current_policies</x:v>
      </x:c>
      <x:c r="H62" s="10" t="n">
        <x:v>2050</x:v>
      </x:c>
      <x:c r="I62" s="10" t="str">
        <x:v>low</x:v>
      </x:c>
      <x:c r="J62" s="11" t="b">
        <x:v>1</x:v>
      </x:c>
      <x:c r="K62" s="10" t="str">
        <x:v>CFP-2026-003-R17-20260804T234500Z</x:v>
      </x:c>
      <x:c r="L6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2" s="14" t="n">
        <x:v>-20.143992672245346</x:v>
      </x:c>
      <x:c r="N62" s="12" t="n">
        <x:v>49173498853.75154</x:v>
      </x:c>
      <x:c r="O62" s="12" t="n">
        <x:v>39267992847.96518</x:v>
      </x:c>
      <x:c r="P62" s="12" t="n">
        <x:v>2448564471.432889</x:v>
      </x:c>
      <x:c r="Q62" s="12" t="n">
        <x:v>2022564746.7036972</x:v>
      </x:c>
      <x:c r="R62" s="12" t="n">
        <x:v>-425999724.7291918</x:v>
      </x:c>
      <x:c r="S62" s="12" t="n">
        <x:v>1531556722.6890755</x:v>
      </x:c>
      <x:c r="T62" s="14" t="n">
        <x:v>17.390616899792015</x:v>
      </x:c>
      <x:c r="U62" s="14" t="n">
        <x:v>-0.3220090889393318</x:v>
      </x:c>
      <x:c r="V62" s="14" t="n">
        <x:v>-0.11461719383617192</x:v>
      </x:c>
      <x:c r="W62" s="12" t="n">
        <x:v>436970750.9892397</x:v>
      </x:c>
      <x:c r="X62" s="12" t="n">
        <x:v>-8091061.647207208</x:v>
      </x:c>
      <x:c r="Y62" s="12" t="n">
        <x:v>-2879964.6128407493</x:v>
      </x:c>
      <x:c r="Z62" s="14" t="n">
        <x:v>-20.477621028670935</x:v>
      </x:c>
      <x:c r="AA62" s="14" t="n">
        <x:v>0.25026360760321503</x:v>
      </x:c>
      <x:c r="AB62" s="14" t="n">
        <x:v>0.08336474882237047</x:v>
      </x:c>
      <x:c r="AC62" s="12" t="n">
        <x:v>435869336.02136594</x:v>
      </x:c>
      <x:c r="AD62" s="12" t="n">
        <x:v>347029.72613166075</x:v>
      </x:c>
      <x:c r="AE62" s="12" t="n">
        <x:v>754385.24174213</x:v>
      </x:c>
      <x:c r="AF62" s="12" t="n">
        <x:v>-8012835.849347174</x:v>
      </x:c>
      <x:c r="AG62" s="12" t="n">
        <x:v>-78225.79786003171</x:v>
      </x:c>
      <x:c r="AH62" s="13" t="n">
        <x:v>79756000</x:v>
      </x:c>
      <x:c r="AI62" s="13" t="n">
        <x:v>254000</x:v>
      </x:c>
      <x:c r="AJ62" s="13" t="n">
        <x:v>27607700</x:v>
      </x:c>
      <x:c r="AK62" s="12" t="n">
        <x:v>129959000000</x:v>
      </x:c>
      <x:c r="AL62" s="14" t="n">
        <x:v>0.17565995555046018</x:v>
      </x:c>
      <x:c r="AM62" s="13" t="n">
        <x:v>48</x:v>
      </x:c>
      <x:c r="AN62" s="13" t="n">
        <x:v>49</x:v>
      </x:c>
      <x:c r="AO62" s="14" t="n">
        <x:v>97.95918367346938</x:v>
      </x:c>
      <x:c r="AP62" s="10" t="str">
        <x:v>High</x:v>
      </x:c>
      <x:c r="AQ62" s="10" t="str">
        <x:v>Issuer facility-to-FEMA county match</x:v>
      </x:c>
      <x:c r="AR62" s="14" t="n">
        <x:v>0.17565995555046018</x:v>
      </x:c>
      <x:c r="AS62" s="14" t="n">
        <x:v>7.164771051868868</x:v>
      </x:c>
      <x:c r="AT62" s="14" t="n">
        <x:v>7.579869737287252</x:v>
      </x:c>
      <x:c r="AU62" s="14" t="n">
        <x:v>5.116136979477691</x:v>
      </x:c>
      <x:c r="AV62" s="14" t="n">
        <x:v>2</x:v>
      </x:c>
      <x:c r="AW62" s="10" t="n">
        <x:v>0.5</x:v>
      </x:c>
      <x:c r="AX62" s="10" t="n">
        <x:v>0.7</x:v>
      </x:c>
      <x:c r="AY62" s="10" t="n">
        <x:v>0.25</x:v>
      </x:c>
      <x:c r="AZ62" s="10" t="n">
        <x:v>0.0025</x:v>
      </x:c>
      <x:c r="BA62" s="10" t="n">
        <x:v>0.05</x:v>
      </x:c>
      <x:c r="BB62" s="10" t="n">
        <x:v>0.39</x:v>
      </x:c>
      <x:c r="BC62" s="10" t="n">
        <x:v>0.7</x:v>
      </x:c>
      <x:c r="BD62" s="10" t="n">
        <x:v>0.05</x:v>
      </x:c>
      <x:c r="BE62" s="10" t="n">
        <x:v>0.15</x:v>
      </x:c>
      <x:c r="BF62" s="10" t="n">
        <x:v>0.7</x:v>
      </x:c>
      <x:c r="BG62" s="10" t="n">
        <x:v>0.35</x:v>
      </x:c>
      <x:c r="BH62" s="10" t="n">
        <x:v>1.6373884833738848</x:v>
      </x:c>
      <x:c r="BI62" s="10" t="str">
        <x:v>Common scenario elasticity + issuer SEC CapEx/CFO dependency scale</x:v>
      </x:c>
      <x:c r="BJ62" s="10" t="str">
        <x:v>Modeled estimate using observed inputs + disclosed assumptions</x:v>
      </x:c>
      <x:c r="BK62" s="11" t="b">
        <x:v>0</x:v>
      </x:c>
      <x:c r="BL62" s="11" t="b">
        <x:v>0</x:v>
      </x:c>
      <x:c r="BM62" s="11" t="b">
        <x:v>0</x:v>
      </x:c>
      <x:c r="BN62" s="10" t="str">
        <x:v>Conditional scenario sensitivity; not a forecast or probability</x:v>
      </x:c>
      <x:c r="BO62" s="14" t="n">
        <x:v>125.2253942393688</x:v>
      </x:c>
    </x:row>
    <x:row r="63" ht="18" customHeight="1">
      <x:c r="A63" s="10" t="str">
        <x:v>DUK</x:v>
      </x:c>
      <x:c r="B63" s="10" t="str">
        <x:v>Utilities</x:v>
      </x:c>
      <x:c r="C63" s="10" t="str">
        <x:v>below2c_vs_cp</x:v>
      </x:c>
      <x:c r="D63" s="10" t="str">
        <x:v>Below 2°C vs Current Policies</x:v>
      </x:c>
      <x:c r="E63" s="10" t="str">
        <x:v>Below 2°C vs CP</x:v>
      </x:c>
      <x:c r="F63" s="10" t="str">
        <x:v>below_2c</x:v>
      </x:c>
      <x:c r="G63" s="10" t="str">
        <x:v>current_policies</x:v>
      </x:c>
      <x:c r="H63" s="10" t="n">
        <x:v>2050</x:v>
      </x:c>
      <x:c r="I63" s="10" t="str">
        <x:v>base</x:v>
      </x:c>
      <x:c r="J63" s="11" t="b">
        <x:v>1</x:v>
      </x:c>
      <x:c r="K63" s="10" t="str">
        <x:v>CFP-2026-003-R17-20260804T234500Z</x:v>
      </x:c>
      <x:c r="L6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3" s="14" t="n">
        <x:v>-75.52051808556016</x:v>
      </x:c>
      <x:c r="N63" s="12" t="n">
        <x:v>47758158995.495155</x:v>
      </x:c>
      <x:c r="O63" s="12" t="n">
        <x:v>11690949893.97166</x:v>
      </x:c>
      <x:c r="P63" s="12" t="n">
        <x:v>2354100065.7372284</x:v>
      </x:c>
      <x:c r="Q63" s="12" t="n">
        <x:v>539978193.329787</x:v>
      </x:c>
      <x:c r="R63" s="12" t="n">
        <x:v>-1814121872.4074414</x:v>
      </x:c>
      <x:c r="S63" s="12" t="n">
        <x:v>1531556722.6890755</x:v>
      </x:c>
      <x:c r="T63" s="14" t="n">
        <x:v>73.29133630308905</x:v>
      </x:c>
      <x:c r="U63" s="14" t="n">
        <x:v>-0.896199269354053</x:v>
      </x:c>
      <x:c r="V63" s="14" t="n">
        <x:v>-0.19648661800486591</x:v>
      </x:c>
      <x:c r="W63" s="12" t="n">
        <x:v>1841577584.619714</x:v>
      </x:c>
      <x:c r="X63" s="12" t="n">
        <x:v>-22518630.018831134</x:v>
      </x:c>
      <x:c r="Y63" s="12" t="n">
        <x:v>-4937082.193441279</x:v>
      </x:c>
      <x:c r="Z63" s="14" t="n">
        <x:v>-76.38457065049846</x:v>
      </x:c>
      <x:c r="AA63" s="14" t="n">
        <x:v>0.7169063192867365</x:v>
      </x:c>
      <x:c r="AB63" s="14" t="n">
        <x:v>0.14714624565157358</x:v>
      </x:c>
      <x:c r="AC63" s="12" t="n">
        <x:v>1834423266.4127405</x:v>
      </x:c>
      <x:c r="AD63" s="12" t="n">
        <x:v>2921056.1567081856</x:v>
      </x:c>
      <x:c r="AE63" s="12" t="n">
        <x:v>4233262.0502652265</x:v>
      </x:c>
      <x:c r="AF63" s="12" t="n">
        <x:v>-22257877.3592977</x:v>
      </x:c>
      <x:c r="AG63" s="12" t="n">
        <x:v>-260752.6595334392</x:v>
      </x:c>
      <x:c r="AH63" s="13" t="n">
        <x:v>79756000</x:v>
      </x:c>
      <x:c r="AI63" s="13" t="n">
        <x:v>254000</x:v>
      </x:c>
      <x:c r="AJ63" s="13" t="n">
        <x:v>27607700</x:v>
      </x:c>
      <x:c r="AK63" s="12" t="n">
        <x:v>129959000000</x:v>
      </x:c>
      <x:c r="AL63" s="14" t="n">
        <x:v>0.17565995555046018</x:v>
      </x:c>
      <x:c r="AM63" s="13" t="n">
        <x:v>48</x:v>
      </x:c>
      <x:c r="AN63" s="13" t="n">
        <x:v>49</x:v>
      </x:c>
      <x:c r="AO63" s="14" t="n">
        <x:v>97.95918367346938</x:v>
      </x:c>
      <x:c r="AP63" s="10" t="str">
        <x:v>High</x:v>
      </x:c>
      <x:c r="AQ63" s="10" t="str">
        <x:v>Issuer facility-to-FEMA county match</x:v>
      </x:c>
      <x:c r="AR63" s="14" t="n">
        <x:v>0.17565995555046018</x:v>
      </x:c>
      <x:c r="AS63" s="14" t="n">
        <x:v>7.164771051868868</x:v>
      </x:c>
      <x:c r="AT63" s="14" t="n">
        <x:v>7.579869737287252</x:v>
      </x:c>
      <x:c r="AU63" s="14" t="n">
        <x:v>5.116136979477691</x:v>
      </x:c>
      <x:c r="AV63" s="14" t="n">
        <x:v>2</x:v>
      </x:c>
      <x:c r="AW63" s="10" t="n">
        <x:v>0.75</x:v>
      </x:c>
      <x:c r="AX63" s="10" t="n">
        <x:v>0.5</x:v>
      </x:c>
      <x:c r="AY63" s="10" t="n">
        <x:v>0.5</x:v>
      </x:c>
      <x:c r="AZ63" s="10" t="n">
        <x:v>0.005</x:v>
      </x:c>
      <x:c r="BA63" s="10" t="n">
        <x:v>0.03</x:v>
      </x:c>
      <x:c r="BB63" s="10" t="n">
        <x:v>0.65</x:v>
      </x:c>
      <x:c r="BC63" s="10" t="n">
        <x:v>0.5</x:v>
      </x:c>
      <x:c r="BD63" s="10" t="n">
        <x:v>0.1</x:v>
      </x:c>
      <x:c r="BE63" s="10" t="n">
        <x:v>0.25</x:v>
      </x:c>
      <x:c r="BF63" s="10" t="n">
        <x:v>0.7</x:v>
      </x:c>
      <x:c r="BG63" s="10" t="n">
        <x:v>0.6</x:v>
      </x:c>
      <x:c r="BH63" s="10" t="n">
        <x:v>1.6373884833738848</x:v>
      </x:c>
      <x:c r="BI63" s="10" t="str">
        <x:v>Common scenario elasticity + issuer SEC CapEx/CFO dependency scale</x:v>
      </x:c>
      <x:c r="BJ63" s="10" t="str">
        <x:v>Modeled estimate using observed inputs + disclosed assumptions</x:v>
      </x:c>
      <x:c r="BK63" s="11" t="b">
        <x:v>0</x:v>
      </x:c>
      <x:c r="BL63" s="11" t="b">
        <x:v>0</x:v>
      </x:c>
      <x:c r="BM63" s="11" t="b">
        <x:v>0</x:v>
      </x:c>
      <x:c r="BN63" s="10" t="str">
        <x:v>Conditional scenario sensitivity; not a forecast or probability</x:v>
      </x:c>
      <x:c r="BO63" s="14" t="n">
        <x:v>408.5053774810997</x:v>
      </x:c>
    </x:row>
    <x:row r="64" ht="18" customHeight="1">
      <x:c r="A64" s="10" t="str">
        <x:v>DUK</x:v>
      </x:c>
      <x:c r="B64" s="10" t="str">
        <x:v>Utilities</x:v>
      </x:c>
      <x:c r="C64" s="10" t="str">
        <x:v>below2c_vs_cp</x:v>
      </x:c>
      <x:c r="D64" s="10" t="str">
        <x:v>Below 2°C vs Current Policies</x:v>
      </x:c>
      <x:c r="E64" s="10" t="str">
        <x:v>Below 2°C vs CP</x:v>
      </x:c>
      <x:c r="F64" s="10" t="str">
        <x:v>below_2c</x:v>
      </x:c>
      <x:c r="G64" s="10" t="str">
        <x:v>current_policies</x:v>
      </x:c>
      <x:c r="H64" s="10" t="n">
        <x:v>2050</x:v>
      </x:c>
      <x:c r="I64" s="10" t="str">
        <x:v>high</x:v>
      </x:c>
      <x:c r="J64" s="11" t="b">
        <x:v>1</x:v>
      </x:c>
      <x:c r="K64" s="10" t="str">
        <x:v>CFP-2026-003-R17-20260804T234500Z</x:v>
      </x:c>
      <x:c r="L6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4" s="14" t="n">
        <x:v>-97.16341494579511</x:v>
      </x:c>
      <x:c r="N64" s="12" t="n">
        <x:v>45209794613.91126</x:v>
      </x:c>
      <x:c r="O64" s="12" t="n">
        <x:v>1282414277.0549326</x:v>
      </x:c>
      <x:c r="P64" s="12" t="n">
        <x:v>2180679862.3662853</x:v>
      </x:c>
      <x:c r="Q64" s="12" t="n">
        <x:v>0</x:v>
      </x:c>
      <x:c r="R64" s="12" t="n">
        <x:v>-2180679862.3662853</x:v>
      </x:c>
      <x:c r="S64" s="12" t="n">
        <x:v>1531556722.6890755</x:v>
      </x:c>
      <x:c r="T64" s="14" t="n">
        <x:v>228.32249136692607</x:v>
      </x:c>
      <x:c r="U64" s="14" t="n">
        <x:v>-1.7074111010266124</x:v>
      </x:c>
      <x:c r="V64" s="14" t="n">
        <x:v>-0.32747769667477666</x:v>
      </x:c>
      <x:c r="W64" s="12" t="n">
        <x:v>5737016179.197939</x:v>
      </x:c>
      <x:c r="X64" s="12" t="n">
        <x:v>-42901796.71957965</x:v>
      </x:c>
      <x:c r="Y64" s="12" t="n">
        <x:v>-8228470.322402135</x:v>
      </x:c>
      <x:c r="Z64" s="14" t="n">
        <x:v>-98.01907601262263</x:v>
      </x:c>
      <x:c r="AA64" s="14" t="n">
        <x:v>0.7254941700673347</x:v>
      </x:c>
      <x:c r="AB64" s="14" t="n">
        <x:v>0.13016689676017676</x:v>
      </x:c>
      <x:c r="AC64" s="12" t="n">
        <x:v>5703649514.87548</x:v>
      </x:c>
      <x:c r="AD64" s="12" t="n">
        <x:v>13623366.675657991</x:v>
      </x:c>
      <x:c r="AE64" s="12" t="n">
        <x:v>19743297.64680122</x:v>
      </x:c>
      <x:c r="AF64" s="12" t="n">
        <x:v>-42067388.20907265</x:v>
      </x:c>
      <x:c r="AG64" s="12" t="n">
        <x:v>-834408.5105070043</x:v>
      </x:c>
      <x:c r="AH64" s="13" t="n">
        <x:v>79756000</x:v>
      </x:c>
      <x:c r="AI64" s="13" t="n">
        <x:v>254000</x:v>
      </x:c>
      <x:c r="AJ64" s="13" t="n">
        <x:v>27607700</x:v>
      </x:c>
      <x:c r="AK64" s="12" t="n">
        <x:v>129959000000</x:v>
      </x:c>
      <x:c r="AL64" s="14" t="n">
        <x:v>0.17565995555046018</x:v>
      </x:c>
      <x:c r="AM64" s="13" t="n">
        <x:v>48</x:v>
      </x:c>
      <x:c r="AN64" s="13" t="n">
        <x:v>49</x:v>
      </x:c>
      <x:c r="AO64" s="14" t="n">
        <x:v>97.95918367346938</x:v>
      </x:c>
      <x:c r="AP64" s="10" t="str">
        <x:v>High</x:v>
      </x:c>
      <x:c r="AQ64" s="10" t="str">
        <x:v>Issuer facility-to-FEMA county match</x:v>
      </x:c>
      <x:c r="AR64" s="14" t="n">
        <x:v>0.17565995555046018</x:v>
      </x:c>
      <x:c r="AS64" s="14" t="n">
        <x:v>7.164771051868868</x:v>
      </x:c>
      <x:c r="AT64" s="14" t="n">
        <x:v>7.579869737287252</x:v>
      </x:c>
      <x:c r="AU64" s="14" t="n">
        <x:v>5.116136979477691</x:v>
      </x:c>
      <x:c r="AV64" s="14" t="n">
        <x:v>2</x:v>
      </x:c>
      <x:c r="AW64" s="10" t="n">
        <x:v>1</x:v>
      </x:c>
      <x:c r="AX64" s="10" t="n">
        <x:v>0.3</x:v>
      </x:c>
      <x:c r="AY64" s="10" t="n">
        <x:v>0.75</x:v>
      </x:c>
      <x:c r="AZ64" s="10" t="n">
        <x:v>0.01</x:v>
      </x:c>
      <x:c r="BA64" s="10" t="n">
        <x:v>0.01</x:v>
      </x:c>
      <x:c r="BB64" s="10" t="n">
        <x:v>0.8775000000000001</x:v>
      </x:c>
      <x:c r="BC64" s="10" t="n">
        <x:v>0.3</x:v>
      </x:c>
      <x:c r="BD64" s="10" t="n">
        <x:v>0.2</x:v>
      </x:c>
      <x:c r="BE64" s="10" t="n">
        <x:v>0.4</x:v>
      </x:c>
      <x:c r="BF64" s="10" t="n">
        <x:v>0.7</x:v>
      </x:c>
      <x:c r="BG64" s="10" t="n">
        <x:v>1</x:v>
      </x:c>
      <x:c r="BH64" s="10" t="n">
        <x:v>1.6373884833738848</x:v>
      </x:c>
      <x:c r="BI64" s="10" t="str">
        <x:v>Common scenario elasticity + issuer SEC CapEx/CFO dependency scale</x:v>
      </x:c>
      <x:c r="BJ64" s="10" t="str">
        <x:v>Modeled estimate using observed inputs + disclosed assumptions</x:v>
      </x:c>
      <x:c r="BK64" s="11" t="b">
        <x:v>0</x:v>
      </x:c>
      <x:c r="BL64" s="11" t="b">
        <x:v>0</x:v>
      </x:c>
      <x:c r="BM64" s="11" t="b">
        <x:v>0</x:v>
      </x:c>
      <x:c r="BN64" s="10" t="str">
        <x:v>Conditional scenario sensitivity; not a forecast or probability</x:v>
      </x:c>
      <x:c r="BO64" s="14" t="n">
        <x:v>3525.3658215452547</x:v>
      </x:c>
    </x:row>
    <x:row r="65" ht="18" customHeight="1">
      <x:c r="A65" s="10" t="str">
        <x:v>MSFT</x:v>
      </x:c>
      <x:c r="B65" s="10" t="str">
        <x:v>Technology</x:v>
      </x:c>
      <x:c r="C65" s="10" t="str">
        <x:v>below2c_vs_cp</x:v>
      </x:c>
      <x:c r="D65" s="10" t="str">
        <x:v>Below 2°C vs Current Policies</x:v>
      </x:c>
      <x:c r="E65" s="10" t="str">
        <x:v>Below 2°C vs CP</x:v>
      </x:c>
      <x:c r="F65" s="10" t="str">
        <x:v>below_2c</x:v>
      </x:c>
      <x:c r="G65" s="10" t="str">
        <x:v>current_policies</x:v>
      </x:c>
      <x:c r="H65" s="10" t="n">
        <x:v>2050</x:v>
      </x:c>
      <x:c r="I65" s="10" t="str">
        <x:v>low</x:v>
      </x:c>
      <x:c r="J65" s="11" t="b">
        <x:v>1</x:v>
      </x:c>
      <x:c r="K65" s="10" t="str">
        <x:v>CFP-2026-003-R17-20260804T234500Z</x:v>
      </x:c>
      <x:c r="L6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5" s="14" t="n">
        <x:v>0.03383746696004053</x:v>
      </x:c>
      <x:c r="N65" s="12" t="n">
        <x:v>1052486760278.6635</x:v>
      </x:c>
      <x:c r="O65" s="12" t="n">
        <x:v>1052842895138.4316</x:v>
      </x:c>
      <x:c r="P65" s="12" t="n">
        <x:v>135207501071.45192</x:v>
      </x:c>
      <x:c r="Q65" s="12" t="n">
        <x:v>135304383230.97932</x:v>
      </x:c>
      <x:c r="R65" s="12" t="n">
        <x:v>96882159.52740479</x:v>
      </x:c>
      <x:c r="S65" s="12" t="n">
        <x:v>73477040696.4498</x:v>
      </x:c>
      <x:c r="T65" s="14" t="n">
        <x:v>0.0020503862049818136</x:v>
      </x:c>
      <x:c r="U65" s="14" t="n">
        <x:v>-0.004985753878136701</x:v>
      </x:c>
      <x:c r="V65" s="14" t="n">
        <x:v>-0.06818524992288606</x:v>
      </x:c>
      <x:c r="W65" s="12" t="n">
        <x:v>2793083.7796170786</x:v>
      </x:c>
      <x:c r="X65" s="12" t="n">
        <x:v>-6791709.899506509</x:v>
      </x:c>
      <x:c r="Y65" s="12" t="n">
        <x:v>-92883533.4075216</x:v>
      </x:c>
      <x:c r="Z65" s="14" t="n">
        <x:v>-0.002691603708419816</x:v>
      </x:c>
      <x:c r="AA65" s="14" t="n">
        <x:v>0.0022551548241010115</x:v>
      </x:c>
      <x:c r="AB65" s="14" t="n">
        <x:v>0.034273915844368334</x:v>
      </x:c>
      <x:c r="AC65" s="12" t="n">
        <x:v>784287.1810575533</x:v>
      </x:c>
      <x:c r="AD65" s="12" t="n">
        <x:v>353983.983241937</x:v>
      </x:c>
      <x:c r="AE65" s="12" t="n">
        <x:v>1654812.6153175884</x:v>
      </x:c>
      <x:c r="AF65" s="12" t="n">
        <x:v>-2550781.76716688</x:v>
      </x:c>
      <x:c r="AG65" s="12" t="n">
        <x:v>-4240928.132339627</x:v>
      </x:c>
      <x:c r="AH65" s="13" t="n">
        <x:v>143510</x:v>
      </x:c>
      <x:c r="AI65" s="13" t="n">
        <x:v>259090</x:v>
      </x:c>
      <x:c r="AJ65" s="13" t="n">
        <x:v>15140000</x:v>
      </x:c>
      <x:c r="AK65" s="12" t="n">
        <x:v>261126000000</x:v>
      </x:c>
      <x:c r="AL65" s="14" t="n">
        <x:v>0.18089619337783003</x:v>
      </x:c>
      <x:c r="AM65" s="13" t="n">
        <x:v>0</x:v>
      </x:c>
      <x:c r="AN65" s="13" t="n">
        <x:v>0</x:v>
      </x:c>
      <x:c r="AO65" s="14"/>
      <x:c r="AP65" s="10" t="str">
        <x:v>Unverified</x:v>
      </x:c>
      <x:c r="AQ65" s="10" t="str">
        <x:v>Proxy fallback; no issuer facilities in governed match file</x:v>
      </x:c>
      <x:c r="AR65" s="14"/>
      <x:c r="AS65" s="14" t="n">
        <x:v>7.164771051868868</x:v>
      </x:c>
      <x:c r="AT65" s="14" t="n">
        <x:v>7.579869737287252</x:v>
      </x:c>
      <x:c r="AU65" s="14" t="n">
        <x:v>9.627276973766637</x:v>
      </x:c>
      <x:c r="AV65" s="14" t="n">
        <x:v>2.5</x:v>
      </x:c>
      <x:c r="AW65" s="10" t="n">
        <x:v>0.5</x:v>
      </x:c>
      <x:c r="AX65" s="10" t="n">
        <x:v>0.7</x:v>
      </x:c>
      <x:c r="AY65" s="10" t="n">
        <x:v>0.25</x:v>
      </x:c>
      <x:c r="AZ65" s="10" t="n">
        <x:v>0.01</x:v>
      </x:c>
      <x:c r="BA65" s="10" t="n">
        <x:v>0.05</x:v>
      </x:c>
      <x:c r="BB65" s="10" t="n">
        <x:v>0.06</x:v>
      </x:c>
      <x:c r="BC65" s="10" t="n">
        <x:v>0.7</x:v>
      </x:c>
      <x:c r="BD65" s="10" t="n">
        <x:v>0.05</x:v>
      </x:c>
      <x:c r="BE65" s="10" t="n">
        <x:v>0.15</x:v>
      </x:c>
      <x:c r="BF65" s="10" t="n">
        <x:v>0.7</x:v>
      </x:c>
      <x:c r="BG65" s="10" t="n">
        <x:v>0.35</x:v>
      </x:c>
      <x:c r="BH65" s="10" t="n">
        <x:v>0.974074998898371</x:v>
      </x:c>
      <x:c r="BI65" s="10" t="str">
        <x:v>Common scenario elasticity + issuer SEC CapEx/CFO dependency scale</x:v>
      </x:c>
      <x:c r="BJ65" s="10" t="str">
        <x:v>Modeled estimate using observed inputs + disclosed assumptions</x:v>
      </x:c>
      <x:c r="BK65" s="11" t="b">
        <x:v>0</x:v>
      </x:c>
      <x:c r="BL65" s="11" t="b">
        <x:v>0</x:v>
      </x:c>
      <x:c r="BM65" s="11" t="b">
        <x:v>0</x:v>
      </x:c>
      <x:c r="BN65" s="10" t="str">
        <x:v>Conditional scenario sensitivity; not a forecast or probability</x:v>
      </x:c>
      <x:c r="BO65" s="14" t="n">
        <x:v>99.96617397890866</x:v>
      </x:c>
    </x:row>
    <x:row r="66" ht="18" customHeight="1">
      <x:c r="A66" s="10" t="str">
        <x:v>MSFT</x:v>
      </x:c>
      <x:c r="B66" s="10" t="str">
        <x:v>Technology</x:v>
      </x:c>
      <x:c r="C66" s="10" t="str">
        <x:v>below2c_vs_cp</x:v>
      </x:c>
      <x:c r="D66" s="10" t="str">
        <x:v>Below 2°C vs Current Policies</x:v>
      </x:c>
      <x:c r="E66" s="10" t="str">
        <x:v>Below 2°C vs CP</x:v>
      </x:c>
      <x:c r="F66" s="10" t="str">
        <x:v>below_2c</x:v>
      </x:c>
      <x:c r="G66" s="10" t="str">
        <x:v>current_policies</x:v>
      </x:c>
      <x:c r="H66" s="10" t="n">
        <x:v>2050</x:v>
      </x:c>
      <x:c r="I66" s="10" t="str">
        <x:v>base</x:v>
      </x:c>
      <x:c r="J66" s="11" t="b">
        <x:v>1</x:v>
      </x:c>
      <x:c r="K66" s="10" t="str">
        <x:v>CFP-2026-003-R17-20260804T234500Z</x:v>
      </x:c>
      <x:c r="L6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6" s="14" t="n">
        <x:v>0.054244781334666925</x:v>
      </x:c>
      <x:c r="N66" s="12" t="n">
        <x:v>1048516881573.2354</x:v>
      </x:c>
      <x:c r="O66" s="12" t="n">
        <x:v>1049085647262.9017</x:v>
      </x:c>
      <x:c r="P66" s="12" t="n">
        <x:v>134348025850.03798</x:v>
      </x:c>
      <x:c r="Q66" s="12" t="n">
        <x:v>134512910265.53935</x:v>
      </x:c>
      <x:c r="R66" s="12" t="n">
        <x:v>164884415.5013733</x:v>
      </x:c>
      <x:c r="S66" s="12" t="n">
        <x:v>73477040696.4498</x:v>
      </x:c>
      <x:c r="T66" s="14" t="n">
        <x:v>0.011427224442297651</x:v>
      </x:c>
      <x:c r="U66" s="14" t="n">
        <x:v>-0.015578894184067424</x:v>
      </x:c>
      <x:c r="V66" s="14" t="n">
        <x:v>-0.11688899986780456</x:v>
      </x:c>
      <x:c r="W66" s="12" t="n">
        <x:v>15566430.928122872</x:v>
      </x:c>
      <x:c r="X66" s="12" t="n">
        <x:v>-21221932.01659563</x:v>
      </x:c>
      <x:c r="Y66" s="12" t="n">
        <x:v>-159228914.412894</x:v>
      </x:c>
      <x:c r="Z66" s="14" t="n">
        <x:v>-0.011649176941951654</x:v>
      </x:c>
      <x:c r="AA66" s="14" t="n">
        <x:v>0.006916215606179782</x:v>
      </x:c>
      <x:c r="AB66" s="14" t="n">
        <x:v>0.05897774267043037</x:v>
      </x:c>
      <x:c r="AC66" s="12" t="n">
        <x:v>3300793.4570802497</x:v>
      </x:c>
      <x:c r="AD66" s="12" t="n">
        <x:v>2979592.282053243</x:v>
      </x:c>
      <x:c r="AE66" s="12" t="n">
        <x:v>9286045.18898938</x:v>
      </x:c>
      <x:c r="AF66" s="12" t="n">
        <x:v>-7085504.908796888</x:v>
      </x:c>
      <x:c r="AG66" s="12" t="n">
        <x:v>-14136427.107798755</x:v>
      </x:c>
      <x:c r="AH66" s="13" t="n">
        <x:v>143510</x:v>
      </x:c>
      <x:c r="AI66" s="13" t="n">
        <x:v>259090</x:v>
      </x:c>
      <x:c r="AJ66" s="13" t="n">
        <x:v>15140000</x:v>
      </x:c>
      <x:c r="AK66" s="12" t="n">
        <x:v>261126000000</x:v>
      </x:c>
      <x:c r="AL66" s="14" t="n">
        <x:v>0.18089619337783003</x:v>
      </x:c>
      <x:c r="AM66" s="13" t="n">
        <x:v>0</x:v>
      </x:c>
      <x:c r="AN66" s="13" t="n">
        <x:v>0</x:v>
      </x:c>
      <x:c r="AO66" s="14"/>
      <x:c r="AP66" s="10" t="str">
        <x:v>Unverified</x:v>
      </x:c>
      <x:c r="AQ66" s="10" t="str">
        <x:v>Proxy fallback; no issuer facilities in governed match file</x:v>
      </x:c>
      <x:c r="AR66" s="14"/>
      <x:c r="AS66" s="14" t="n">
        <x:v>7.164771051868868</x:v>
      </x:c>
      <x:c r="AT66" s="14" t="n">
        <x:v>7.579869737287252</x:v>
      </x:c>
      <x:c r="AU66" s="14" t="n">
        <x:v>9.627276973766637</x:v>
      </x:c>
      <x:c r="AV66" s="14" t="n">
        <x:v>2.5</x:v>
      </x:c>
      <x:c r="AW66" s="10" t="n">
        <x:v>0.75</x:v>
      </x:c>
      <x:c r="AX66" s="10" t="n">
        <x:v>0.5</x:v>
      </x:c>
      <x:c r="AY66" s="10" t="n">
        <x:v>0.5</x:v>
      </x:c>
      <x:c r="AZ66" s="10" t="n">
        <x:v>0.02</x:v>
      </x:c>
      <x:c r="BA66" s="10" t="n">
        <x:v>0.03</x:v>
      </x:c>
      <x:c r="BB66" s="10" t="n">
        <x:v>0.1</x:v>
      </x:c>
      <x:c r="BC66" s="10" t="n">
        <x:v>0.5</x:v>
      </x:c>
      <x:c r="BD66" s="10" t="n">
        <x:v>0.1</x:v>
      </x:c>
      <x:c r="BE66" s="10" t="n">
        <x:v>0.25</x:v>
      </x:c>
      <x:c r="BF66" s="10" t="n">
        <x:v>0.7</x:v>
      </x:c>
      <x:c r="BG66" s="10" t="n">
        <x:v>0.6</x:v>
      </x:c>
      <x:c r="BH66" s="10" t="n">
        <x:v>0.974074998898371</x:v>
      </x:c>
      <x:c r="BI66" s="10" t="str">
        <x:v>Common scenario elasticity + issuer SEC CapEx/CFO dependency scale</x:v>
      </x:c>
      <x:c r="BJ66" s="10" t="str">
        <x:v>Modeled estimate using observed inputs + disclosed assumptions</x:v>
      </x:c>
      <x:c r="BK66" s="11" t="b">
        <x:v>0</x:v>
      </x:c>
      <x:c r="BL66" s="11" t="b">
        <x:v>0</x:v>
      </x:c>
      <x:c r="BM66" s="11" t="b">
        <x:v>0</x:v>
      </x:c>
      <x:c r="BN66" s="10" t="str">
        <x:v>Conditional scenario sensitivity; not a forecast or probability</x:v>
      </x:c>
      <x:c r="BO66" s="14" t="n">
        <x:v>99.94578462767551</x:v>
      </x:c>
    </x:row>
    <x:row r="67" ht="18" customHeight="1">
      <x:c r="A67" s="10" t="str">
        <x:v>MSFT</x:v>
      </x:c>
      <x:c r="B67" s="10" t="str">
        <x:v>Technology</x:v>
      </x:c>
      <x:c r="C67" s="10" t="str">
        <x:v>below2c_vs_cp</x:v>
      </x:c>
      <x:c r="D67" s="10" t="str">
        <x:v>Below 2°C vs Current Policies</x:v>
      </x:c>
      <x:c r="E67" s="10" t="str">
        <x:v>Below 2°C vs CP</x:v>
      </x:c>
      <x:c r="F67" s="10" t="str">
        <x:v>below_2c</x:v>
      </x:c>
      <x:c r="G67" s="10" t="str">
        <x:v>current_policies</x:v>
      </x:c>
      <x:c r="H67" s="10" t="n">
        <x:v>2050</x:v>
      </x:c>
      <x:c r="I67" s="10" t="str">
        <x:v>high</x:v>
      </x:c>
      <x:c r="J67" s="11" t="b">
        <x:v>1</x:v>
      </x:c>
      <x:c r="K67" s="10" t="str">
        <x:v>CFP-2026-003-R17-20260804T234500Z</x:v>
      </x:c>
      <x:c r="L6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7" s="14" t="n">
        <x:v>0.07659645646627133</x:v>
      </x:c>
      <x:c r="N67" s="12" t="n">
        <x:v>1040138467816.242</x:v>
      </x:c>
      <x:c r="O67" s="12" t="n">
        <x:v>1040935177024.9318</x:v>
      </x:c>
      <x:c r="P67" s="12" t="n">
        <x:v>132696725597.14645</x:v>
      </x:c>
      <x:c r="Q67" s="12" t="n">
        <x:v>132953267267.18056</x:v>
      </x:c>
      <x:c r="R67" s="12" t="n">
        <x:v>256541670.0341034</x:v>
      </x:c>
      <x:c r="S67" s="12" t="n">
        <x:v>73477040696.4498</x:v>
      </x:c>
      <x:c r="T67" s="14" t="n">
        <x:v>0.04952787623748839</x:v>
      </x:c>
      <x:c r="U67" s="14" t="n">
        <x:v>-0.04303859195533955</x:v>
      </x:c>
      <x:c r="V67" s="14" t="n">
        <x:v>-0.1948149997796743</x:v>
      </x:c>
      <x:c r="W67" s="12" t="n">
        <x:v>67468025.00997023</x:v>
      </x:c>
      <x:c r="X67" s="12" t="n">
        <x:v>-58628171.02258217</x:v>
      </x:c>
      <x:c r="Y67" s="12" t="n">
        <x:v>-265381524.0214901</x:v>
      </x:c>
      <x:c r="Z67" s="14" t="n">
        <x:v>-0.040645764793856926</x:v>
      </x:c>
      <x:c r="AA67" s="14" t="n">
        <x:v>0.01815419798174688</x:v>
      </x:c>
      <x:c r="AB67" s="14" t="n">
        <x:v>0.09908802327838233</x:v>
      </x:c>
      <x:c r="AC67" s="12" t="n">
        <x:v>10262936.228995688</x:v>
      </x:c>
      <x:c r="AD67" s="12" t="n">
        <x:v>13896370.362189882</x:v>
      </x:c>
      <x:c r="AE67" s="12" t="n">
        <x:v>43308718.41878467</x:v>
      </x:c>
      <x:c r="AF67" s="12" t="n">
        <x:v>-13391604.277626116</x:v>
      </x:c>
      <x:c r="AG67" s="12" t="n">
        <x:v>-45236566.74495602</x:v>
      </x:c>
      <x:c r="AH67" s="13" t="n">
        <x:v>143510</x:v>
      </x:c>
      <x:c r="AI67" s="13" t="n">
        <x:v>259090</x:v>
      </x:c>
      <x:c r="AJ67" s="13" t="n">
        <x:v>15140000</x:v>
      </x:c>
      <x:c r="AK67" s="12" t="n">
        <x:v>261126000000</x:v>
      </x:c>
      <x:c r="AL67" s="14" t="n">
        <x:v>0.18089619337783003</x:v>
      </x:c>
      <x:c r="AM67" s="13" t="n">
        <x:v>0</x:v>
      </x:c>
      <x:c r="AN67" s="13" t="n">
        <x:v>0</x:v>
      </x:c>
      <x:c r="AO67" s="14"/>
      <x:c r="AP67" s="10" t="str">
        <x:v>Unverified</x:v>
      </x:c>
      <x:c r="AQ67" s="10" t="str">
        <x:v>Proxy fallback; no issuer facilities in governed match file</x:v>
      </x:c>
      <x:c r="AR67" s="14"/>
      <x:c r="AS67" s="14" t="n">
        <x:v>7.164771051868868</x:v>
      </x:c>
      <x:c r="AT67" s="14" t="n">
        <x:v>7.579869737287252</x:v>
      </x:c>
      <x:c r="AU67" s="14" t="n">
        <x:v>9.627276973766637</x:v>
      </x:c>
      <x:c r="AV67" s="14" t="n">
        <x:v>2.5</x:v>
      </x:c>
      <x:c r="AW67" s="10" t="n">
        <x:v>1</x:v>
      </x:c>
      <x:c r="AX67" s="10" t="n">
        <x:v>0.3</x:v>
      </x:c>
      <x:c r="AY67" s="10" t="n">
        <x:v>0.75</x:v>
      </x:c>
      <x:c r="AZ67" s="10" t="n">
        <x:v>0.04</x:v>
      </x:c>
      <x:c r="BA67" s="10" t="n">
        <x:v>0.01</x:v>
      </x:c>
      <x:c r="BB67" s="10" t="n">
        <x:v>0.135</x:v>
      </x:c>
      <x:c r="BC67" s="10" t="n">
        <x:v>0.3</x:v>
      </x:c>
      <x:c r="BD67" s="10" t="n">
        <x:v>0.2</x:v>
      </x:c>
      <x:c r="BE67" s="10" t="n">
        <x:v>0.4</x:v>
      </x:c>
      <x:c r="BF67" s="10" t="n">
        <x:v>0.7</x:v>
      </x:c>
      <x:c r="BG67" s="10" t="n">
        <x:v>1</x:v>
      </x:c>
      <x:c r="BH67" s="10" t="n">
        <x:v>0.974074998898371</x:v>
      </x:c>
      <x:c r="BI67" s="10" t="str">
        <x:v>Common scenario elasticity + issuer SEC CapEx/CFO dependency scale</x:v>
      </x:c>
      <x:c r="BJ67" s="10" t="str">
        <x:v>Modeled estimate using observed inputs + disclosed assumptions</x:v>
      </x:c>
      <x:c r="BK67" s="11" t="b">
        <x:v>0</x:v>
      </x:c>
      <x:c r="BL67" s="11" t="b">
        <x:v>0</x:v>
      </x:c>
      <x:c r="BM67" s="11" t="b">
        <x:v>0</x:v>
      </x:c>
      <x:c r="BN67" s="10" t="str">
        <x:v>Conditional scenario sensitivity; not a forecast or probability</x:v>
      </x:c>
      <x:c r="BO67" s="14" t="n">
        <x:v>99.92346216880028</x:v>
      </x:c>
    </x:row>
    <x:row r="68" ht="18" customHeight="1">
      <x:c r="A68" s="10" t="str">
        <x:v>NEE</x:v>
      </x:c>
      <x:c r="B68" s="10" t="str">
        <x:v>Utilities</x:v>
      </x:c>
      <x:c r="C68" s="10" t="str">
        <x:v>below2c_vs_cp</x:v>
      </x:c>
      <x:c r="D68" s="10" t="str">
        <x:v>Below 2°C vs Current Policies</x:v>
      </x:c>
      <x:c r="E68" s="10" t="str">
        <x:v>Below 2°C vs CP</x:v>
      </x:c>
      <x:c r="F68" s="10" t="str">
        <x:v>below_2c</x:v>
      </x:c>
      <x:c r="G68" s="10" t="str">
        <x:v>current_policies</x:v>
      </x:c>
      <x:c r="H68" s="10" t="n">
        <x:v>2050</x:v>
      </x:c>
      <x:c r="I68" s="10" t="str">
        <x:v>low</x:v>
      </x:c>
      <x:c r="J68" s="11" t="b">
        <x:v>1</x:v>
      </x:c>
      <x:c r="K68" s="10" t="str">
        <x:v>CFP-2026-003-R17-20260804T234500Z</x:v>
      </x:c>
      <x:c r="L6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8" s="14" t="n">
        <x:v>-1.6298581562398717</x:v>
      </x:c>
      <x:c r="N68" s="12" t="n">
        <x:v>205485161536.0185</x:v>
      </x:c>
      <x:c r="O68" s="12" t="n">
        <x:v>202136044870.86102</x:v>
      </x:c>
      <x:c r="P68" s="12" t="n">
        <x:v>15922536116.732552</x:v>
      </x:c>
      <x:c r="Q68" s="12" t="n">
        <x:v>15722170055.018717</x:v>
      </x:c>
      <x:c r="R68" s="12" t="n">
        <x:v>-200366061.71383476</x:v>
      </x:c>
      <x:c r="S68" s="12" t="n">
        <x:v>9879440000</x:v>
      </x:c>
      <x:c r="T68" s="14" t="n">
        <x:v>1.4639039176152333</x:v>
      </x:c>
      <x:c r="U68" s="14" t="n">
        <x:v>-0.08770733136382054</x:v>
      </x:c>
      <x:c r="V68" s="14" t="n">
        <x:v>-0.1399999999999998</x:v>
      </x:c>
      <x:c r="W68" s="12" t="n">
        <x:v>237273477.34348524</x:v>
      </x:c>
      <x:c r="X68" s="12" t="n">
        <x:v>-14215839.749313936</x:v>
      </x:c>
      <x:c r="Y68" s="12" t="n">
        <x:v>-22691575.880336463</x:v>
      </x:c>
      <x:c r="Z68" s="14" t="n">
        <x:v>-1.7744636415377995</x:v>
      </x:c>
      <x:c r="AA68" s="14" t="n">
        <x:v>0.058904844181483756</x:v>
      </x:c>
      <x:c r="AB68" s="14" t="n">
        <x:v>0.08570064111644504</x:v>
      </x:c>
      <x:c r="AC68" s="12" t="n">
        <x:v>237236714.7918015</x:v>
      </x:c>
      <x:c r="AD68" s="12" t="n">
        <x:v>34980.32314231854</x:v>
      </x:c>
      <x:c r="AE68" s="12" t="n">
        <x:v>1782.228541417244</x:v>
      </x:c>
      <x:c r="AF68" s="12" t="n">
        <x:v>-13711237.428706829</x:v>
      </x:c>
      <x:c r="AG68" s="12" t="n">
        <x:v>-504602.32060710154</x:v>
      </x:c>
      <x:c r="AH68" s="13" t="n">
        <x:v>43409916.37</x:v>
      </x:c>
      <x:c r="AI68" s="13" t="n">
        <x:v>25603</x:v>
      </x:c>
      <x:c r="AJ68" s="13" t="n">
        <x:v>65222.95</x:v>
      </x:c>
      <x:c r="AK68" s="12" t="n">
        <x:v>156197000000</x:v>
      </x:c>
      <x:c r="AL68" s="14" t="n">
        <x:v>0.25009029941509914</x:v>
      </x:c>
      <x:c r="AM68" s="13" t="n">
        <x:v>23</x:v>
      </x:c>
      <x:c r="AN68" s="13" t="n">
        <x:v>27</x:v>
      </x:c>
      <x:c r="AO68" s="14" t="n">
        <x:v>85.18518518518519</x:v>
      </x:c>
      <x:c r="AP68" s="10" t="str">
        <x:v>High</x:v>
      </x:c>
      <x:c r="AQ68" s="10" t="str">
        <x:v>Issuer facility-to-FEMA county match</x:v>
      </x:c>
      <x:c r="AR68" s="14" t="n">
        <x:v>0.25009029941509914</x:v>
      </x:c>
      <x:c r="AS68" s="14" t="n">
        <x:v>7.164771051868868</x:v>
      </x:c>
      <x:c r="AT68" s="14" t="n">
        <x:v>7.579869737287252</x:v>
      </x:c>
      <x:c r="AU68" s="14" t="n">
        <x:v>6.849686675720218</x:v>
      </x:c>
      <x:c r="AV68" s="14" t="n">
        <x:v>2</x:v>
      </x:c>
      <x:c r="AW68" s="10" t="n">
        <x:v>0.5</x:v>
      </x:c>
      <x:c r="AX68" s="10" t="n">
        <x:v>0.7</x:v>
      </x:c>
      <x:c r="AY68" s="10" t="n">
        <x:v>0.25</x:v>
      </x:c>
      <x:c r="AZ68" s="10" t="n">
        <x:v>0.0025</x:v>
      </x:c>
      <x:c r="BA68" s="10" t="n">
        <x:v>0.05</x:v>
      </x:c>
      <x:c r="BB68" s="10" t="n">
        <x:v>0.39</x:v>
      </x:c>
      <x:c r="BC68" s="10" t="n">
        <x:v>0.7</x:v>
      </x:c>
      <x:c r="BD68" s="10" t="n">
        <x:v>0.05</x:v>
      </x:c>
      <x:c r="BE68" s="10" t="n">
        <x:v>0.15</x:v>
      </x:c>
      <x:c r="BF68" s="10" t="n">
        <x:v>0.7</x:v>
      </x:c>
      <x:c r="BG68" s="10" t="n">
        <x:v>0.35</x:v>
      </x:c>
      <x:c r="BH68" s="10" t="n">
        <x:v>2</x:v>
      </x:c>
      <x:c r="BI68" s="10" t="str">
        <x:v>Common scenario elasticity + issuer SEC CapEx/CFO dependency scale</x:v>
      </x:c>
      <x:c r="BJ68" s="10" t="str">
        <x:v>Modeled estimate using observed inputs + disclosed assumptions</x:v>
      </x:c>
      <x:c r="BK68" s="11" t="b">
        <x:v>0</x:v>
      </x:c>
      <x:c r="BL68" s="11" t="b">
        <x:v>0</x:v>
      </x:c>
      <x:c r="BM68" s="11" t="b">
        <x:v>0</x:v>
      </x:c>
      <x:c r="BN68" s="10" t="str">
        <x:v>Conditional scenario sensitivity; not a forecast or probability</x:v>
      </x:c>
      <x:c r="BO68" s="14" t="n">
        <x:v>101.65686266756487</x:v>
      </x:c>
    </x:row>
    <x:row r="69" ht="18" customHeight="1">
      <x:c r="A69" s="10" t="str">
        <x:v>NEE</x:v>
      </x:c>
      <x:c r="B69" s="10" t="str">
        <x:v>Utilities</x:v>
      </x:c>
      <x:c r="C69" s="10" t="str">
        <x:v>below2c_vs_cp</x:v>
      </x:c>
      <x:c r="D69" s="10" t="str">
        <x:v>Below 2°C vs Current Policies</x:v>
      </x:c>
      <x:c r="E69" s="10" t="str">
        <x:v>Below 2°C vs CP</x:v>
      </x:c>
      <x:c r="F69" s="10" t="str">
        <x:v>below_2c</x:v>
      </x:c>
      <x:c r="G69" s="10" t="str">
        <x:v>current_policies</x:v>
      </x:c>
      <x:c r="H69" s="10" t="n">
        <x:v>2050</x:v>
      </x:c>
      <x:c r="I69" s="10" t="str">
        <x:v>base</x:v>
      </x:c>
      <x:c r="J69" s="11" t="b">
        <x:v>1</x:v>
      </x:c>
      <x:c r="K69" s="10" t="str">
        <x:v>CFP-2026-003-R17-20260804T234500Z</x:v>
      </x:c>
      <x:c r="L6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69" s="14" t="n">
        <x:v>-5.855085956499561</x:v>
      </x:c>
      <x:c r="N69" s="12" t="n">
        <x:v>203166572896.6266</x:v>
      </x:c>
      <x:c r="O69" s="12" t="n">
        <x:v>191270995418.65475</x:v>
      </x:c>
      <x:c r="P69" s="12" t="n">
        <x:v>15645191181.486599</x:v>
      </x:c>
      <x:c r="Q69" s="12" t="n">
        <x:v>14725108091.563461</x:v>
      </x:c>
      <x:c r="R69" s="12" t="n">
        <x:v>-920083089.9231377</x:v>
      </x:c>
      <x:c r="S69" s="12" t="n">
        <x:v>9879440000</x:v>
      </x:c>
      <x:c r="T69" s="14" t="n">
        <x:v>6.161988947342251</x:v>
      </x:c>
      <x:c r="U69" s="14" t="n">
        <x:v>-0.24536105386652246</x:v>
      </x:c>
      <x:c r="V69" s="14" t="n">
        <x:v>-0.2399999999999998</x:v>
      </x:c>
      <x:c r="W69" s="12" t="n">
        <x:v>998751712.660082</x:v>
      </x:c>
      <x:c r="X69" s="12" t="n">
        <x:v>-39768778.37065375</x:v>
      </x:c>
      <x:c r="Y69" s="12" t="n">
        <x:v>-38899844.366291106</x:v>
      </x:c>
      <x:c r="Z69" s="14" t="n">
        <x:v>-6.170029065862198</x:v>
      </x:c>
      <x:c r="AA69" s="14" t="n">
        <x:v>0.1663510888280128</x:v>
      </x:c>
      <x:c r="AB69" s="14" t="n">
        <x:v>0.14859202053462192</x:v>
      </x:c>
      <x:c r="AC69" s="12" t="n">
        <x:v>998447271.4549286</x:v>
      </x:c>
      <x:c r="AD69" s="12" t="n">
        <x:v>294440.1605519672</x:v>
      </x:c>
      <x:c r="AE69" s="12" t="n">
        <x:v>10001.044601373758</x:v>
      </x:c>
      <x:c r="AF69" s="12" t="n">
        <x:v>-38086770.63529673</x:v>
      </x:c>
      <x:c r="AG69" s="12" t="n">
        <x:v>-1682007.7353569977</x:v>
      </x:c>
      <x:c r="AH69" s="13" t="n">
        <x:v>43409916.37</x:v>
      </x:c>
      <x:c r="AI69" s="13" t="n">
        <x:v>25603</x:v>
      </x:c>
      <x:c r="AJ69" s="13" t="n">
        <x:v>65222.95</x:v>
      </x:c>
      <x:c r="AK69" s="12" t="n">
        <x:v>156197000000</x:v>
      </x:c>
      <x:c r="AL69" s="14" t="n">
        <x:v>0.25009029941509914</x:v>
      </x:c>
      <x:c r="AM69" s="13" t="n">
        <x:v>23</x:v>
      </x:c>
      <x:c r="AN69" s="13" t="n">
        <x:v>27</x:v>
      </x:c>
      <x:c r="AO69" s="14" t="n">
        <x:v>85.18518518518519</x:v>
      </x:c>
      <x:c r="AP69" s="10" t="str">
        <x:v>High</x:v>
      </x:c>
      <x:c r="AQ69" s="10" t="str">
        <x:v>Issuer facility-to-FEMA county match</x:v>
      </x:c>
      <x:c r="AR69" s="14" t="n">
        <x:v>0.25009029941509914</x:v>
      </x:c>
      <x:c r="AS69" s="14" t="n">
        <x:v>7.164771051868868</x:v>
      </x:c>
      <x:c r="AT69" s="14" t="n">
        <x:v>7.579869737287252</x:v>
      </x:c>
      <x:c r="AU69" s="14" t="n">
        <x:v>6.849686675720218</x:v>
      </x:c>
      <x:c r="AV69" s="14" t="n">
        <x:v>2</x:v>
      </x:c>
      <x:c r="AW69" s="10" t="n">
        <x:v>0.75</x:v>
      </x:c>
      <x:c r="AX69" s="10" t="n">
        <x:v>0.5</x:v>
      </x:c>
      <x:c r="AY69" s="10" t="n">
        <x:v>0.5</x:v>
      </x:c>
      <x:c r="AZ69" s="10" t="n">
        <x:v>0.005</x:v>
      </x:c>
      <x:c r="BA69" s="10" t="n">
        <x:v>0.03</x:v>
      </x:c>
      <x:c r="BB69" s="10" t="n">
        <x:v>0.65</x:v>
      </x:c>
      <x:c r="BC69" s="10" t="n">
        <x:v>0.5</x:v>
      </x:c>
      <x:c r="BD69" s="10" t="n">
        <x:v>0.1</x:v>
      </x:c>
      <x:c r="BE69" s="10" t="n">
        <x:v>0.25</x:v>
      </x:c>
      <x:c r="BF69" s="10" t="n">
        <x:v>0.7</x:v>
      </x:c>
      <x:c r="BG69" s="10" t="n">
        <x:v>0.6</x:v>
      </x:c>
      <x:c r="BH69" s="10" t="n">
        <x:v>2</x:v>
      </x:c>
      <x:c r="BI69" s="10" t="str">
        <x:v>Common scenario elasticity + issuer SEC CapEx/CFO dependency scale</x:v>
      </x:c>
      <x:c r="BJ69" s="10" t="str">
        <x:v>Modeled estimate using observed inputs + disclosed assumptions</x:v>
      </x:c>
      <x:c r="BK69" s="11" t="b">
        <x:v>0</x:v>
      </x:c>
      <x:c r="BL69" s="11" t="b">
        <x:v>0</x:v>
      </x:c>
      <x:c r="BM69" s="11" t="b">
        <x:v>0</x:v>
      </x:c>
      <x:c r="BN69" s="10" t="str">
        <x:v>Conditional scenario sensitivity; not a forecast or probability</x:v>
      </x:c>
      <x:c r="BO69" s="14" t="n">
        <x:v>106.21922704586481</x:v>
      </x:c>
    </x:row>
    <x:row r="70" ht="18" customHeight="1">
      <x:c r="A70" s="10" t="str">
        <x:v>NEE</x:v>
      </x:c>
      <x:c r="B70" s="10" t="str">
        <x:v>Utilities</x:v>
      </x:c>
      <x:c r="C70" s="10" t="str">
        <x:v>below2c_vs_cp</x:v>
      </x:c>
      <x:c r="D70" s="10" t="str">
        <x:v>Below 2°C vs Current Policies</x:v>
      </x:c>
      <x:c r="E70" s="10" t="str">
        <x:v>Below 2°C vs CP</x:v>
      </x:c>
      <x:c r="F70" s="10" t="str">
        <x:v>below_2c</x:v>
      </x:c>
      <x:c r="G70" s="10" t="str">
        <x:v>current_policies</x:v>
      </x:c>
      <x:c r="H70" s="10" t="n">
        <x:v>2050</x:v>
      </x:c>
      <x:c r="I70" s="10" t="str">
        <x:v>high</x:v>
      </x:c>
      <x:c r="J70" s="11" t="b">
        <x:v>1</x:v>
      </x:c>
      <x:c r="K70" s="10" t="str">
        <x:v>CFP-2026-003-R17-20260804T234500Z</x:v>
      </x:c>
      <x:c r="L7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0" s="14" t="n">
        <x:v>-15.934391762325383</x:v>
      </x:c>
      <x:c r="N70" s="12" t="n">
        <x:v>199106173031.11072</x:v>
      </x:c>
      <x:c r="O70" s="12" t="n">
        <x:v>167379815397.36008</x:v>
      </x:c>
      <x:c r="P70" s="12" t="n">
        <x:v>15170679225.627037</x:v>
      </x:c>
      <x:c r="Q70" s="12" t="n">
        <x:v>12207053561.126331</x:v>
      </x:c>
      <x:c r="R70" s="12" t="n">
        <x:v>-2963625664.5007057</x:v>
      </x:c>
      <x:c r="S70" s="12" t="n">
        <x:v>9879440000</x:v>
      </x:c>
      <x:c r="T70" s="14" t="n">
        <x:v>19.161979963435012</x:v>
      </x:c>
      <x:c r="U70" s="14" t="n">
        <x:v>-0.47732687375517935</x:v>
      </x:c>
      <x:c r="V70" s="14" t="n">
        <x:v>-0.3999999999999993</x:v>
      </x:c>
      <x:c r="W70" s="12" t="n">
        <x:v>3105825159.698379</x:v>
      </x:c>
      <x:c r="X70" s="12" t="n">
        <x:v>-77366421.25385323</x:v>
      </x:c>
      <x:c r="Y70" s="12" t="n">
        <x:v>-64833073.94381845</x:v>
      </x:c>
      <x:c r="Z70" s="14" t="n">
        <x:v>-16.51480179755221</x:v>
      </x:c>
      <x:c r="AA70" s="14" t="n">
        <x:v>0.32770623811678534</x:v>
      </x:c>
      <x:c r="AB70" s="14" t="n">
        <x:v>0.2527037971100335</x:v>
      </x:c>
      <x:c r="AC70" s="12" t="n">
        <x:v>3104405291.696369</x:v>
      </x:c>
      <x:c r="AD70" s="12" t="n">
        <x:v>1373224.6338459512</x:v>
      </x:c>
      <x:c r="AE70" s="12" t="n">
        <x:v>46643.368163680185</x:v>
      </x:c>
      <x:c r="AF70" s="12" t="n">
        <x:v>-71983996.50071084</x:v>
      </x:c>
      <x:c r="AG70" s="12" t="n">
        <x:v>-5382424.753142402</x:v>
      </x:c>
      <x:c r="AH70" s="13" t="n">
        <x:v>43409916.37</x:v>
      </x:c>
      <x:c r="AI70" s="13" t="n">
        <x:v>25603</x:v>
      </x:c>
      <x:c r="AJ70" s="13" t="n">
        <x:v>65222.95</x:v>
      </x:c>
      <x:c r="AK70" s="12" t="n">
        <x:v>156197000000</x:v>
      </x:c>
      <x:c r="AL70" s="14" t="n">
        <x:v>0.25009029941509914</x:v>
      </x:c>
      <x:c r="AM70" s="13" t="n">
        <x:v>23</x:v>
      </x:c>
      <x:c r="AN70" s="13" t="n">
        <x:v>27</x:v>
      </x:c>
      <x:c r="AO70" s="14" t="n">
        <x:v>85.18518518518519</x:v>
      </x:c>
      <x:c r="AP70" s="10" t="str">
        <x:v>High</x:v>
      </x:c>
      <x:c r="AQ70" s="10" t="str">
        <x:v>Issuer facility-to-FEMA county match</x:v>
      </x:c>
      <x:c r="AR70" s="14" t="n">
        <x:v>0.25009029941509914</x:v>
      </x:c>
      <x:c r="AS70" s="14" t="n">
        <x:v>7.164771051868868</x:v>
      </x:c>
      <x:c r="AT70" s="14" t="n">
        <x:v>7.579869737287252</x:v>
      </x:c>
      <x:c r="AU70" s="14" t="n">
        <x:v>6.849686675720218</x:v>
      </x:c>
      <x:c r="AV70" s="14" t="n">
        <x:v>2</x:v>
      </x:c>
      <x:c r="AW70" s="10" t="n">
        <x:v>1</x:v>
      </x:c>
      <x:c r="AX70" s="10" t="n">
        <x:v>0.3</x:v>
      </x:c>
      <x:c r="AY70" s="10" t="n">
        <x:v>0.75</x:v>
      </x:c>
      <x:c r="AZ70" s="10" t="n">
        <x:v>0.01</x:v>
      </x:c>
      <x:c r="BA70" s="10" t="n">
        <x:v>0.01</x:v>
      </x:c>
      <x:c r="BB70" s="10" t="n">
        <x:v>0.8775000000000001</x:v>
      </x:c>
      <x:c r="BC70" s="10" t="n">
        <x:v>0.3</x:v>
      </x:c>
      <x:c r="BD70" s="10" t="n">
        <x:v>0.2</x:v>
      </x:c>
      <x:c r="BE70" s="10" t="n">
        <x:v>0.4</x:v>
      </x:c>
      <x:c r="BF70" s="10" t="n">
        <x:v>0.7</x:v>
      </x:c>
      <x:c r="BG70" s="10" t="n">
        <x:v>1</x:v>
      </x:c>
      <x:c r="BH70" s="10" t="n">
        <x:v>2</x:v>
      </x:c>
      <x:c r="BI70" s="10" t="str">
        <x:v>Common scenario elasticity + issuer SEC CapEx/CFO dependency scale</x:v>
      </x:c>
      <x:c r="BJ70" s="10" t="str">
        <x:v>Modeled estimate using observed inputs + disclosed assumptions</x:v>
      </x:c>
      <x:c r="BK70" s="11" t="b">
        <x:v>0</x:v>
      </x:c>
      <x:c r="BL70" s="11" t="b">
        <x:v>0</x:v>
      </x:c>
      <x:c r="BM70" s="11" t="b">
        <x:v>0</x:v>
      </x:c>
      <x:c r="BN70" s="10" t="str">
        <x:v>Conditional scenario sensitivity; not a forecast or probability</x:v>
      </x:c>
      <x:c r="BO70" s="14" t="n">
        <x:v>118.9547094184757</x:v>
      </x:c>
    </x:row>
    <x:row r="71" ht="18" customHeight="1">
      <x:c r="A71" s="10" t="str">
        <x:v>XOM</x:v>
      </x:c>
      <x:c r="B71" s="10" t="str">
        <x:v>Energy</x:v>
      </x:c>
      <x:c r="C71" s="10" t="str">
        <x:v>below2c_vs_cp</x:v>
      </x:c>
      <x:c r="D71" s="10" t="str">
        <x:v>Below 2°C vs Current Policies</x:v>
      </x:c>
      <x:c r="E71" s="10" t="str">
        <x:v>Below 2°C vs CP</x:v>
      </x:c>
      <x:c r="F71" s="10" t="str">
        <x:v>below_2c</x:v>
      </x:c>
      <x:c r="G71" s="10" t="str">
        <x:v>current_policies</x:v>
      </x:c>
      <x:c r="H71" s="10" t="n">
        <x:v>2050</x:v>
      </x:c>
      <x:c r="I71" s="10" t="str">
        <x:v>low</x:v>
      </x:c>
      <x:c r="J71" s="11" t="b">
        <x:v>1</x:v>
      </x:c>
      <x:c r="K71" s="10" t="str">
        <x:v>CFP-2026-003-R17-20260804T234500Z</x:v>
      </x:c>
      <x:c r="L7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1" s="14" t="n">
        <x:v>-1.7353295020613335</x:v>
      </x:c>
      <x:c r="N71" s="12" t="n">
        <x:v>672151861267.1616</x:v>
      </x:c>
      <x:c r="O71" s="12" t="n">
        <x:v>660487811719.9382</x:v>
      </x:c>
      <x:c r="P71" s="12" t="n">
        <x:v>37211330440.244995</x:v>
      </x:c>
      <x:c r="Q71" s="12" t="n">
        <x:v>36665278464.9758</x:v>
      </x:c>
      <x:c r="R71" s="12" t="n">
        <x:v>-546051975.2691956</x:v>
      </x:c>
      <x:c r="S71" s="12" t="n">
        <x:v>24046905786.56586</x:v>
      </x:c>
      <x:c r="T71" s="14" t="n">
        <x:v>1.5660765601676265</x:v>
      </x:c>
      <x:c r="U71" s="14" t="n">
        <x:v>-0.03916174868649893</x:v>
      </x:c>
      <x:c r="V71" s="14" t="n">
        <x:v>-0.0731962670771599</x:v>
      </x:c>
      <x:c r="W71" s="12" t="n">
        <x:v>588256373.5560939</x:v>
      </x:c>
      <x:c r="X71" s="12" t="n">
        <x:v>-14710103.484320834</x:v>
      </x:c>
      <x:c r="Y71" s="12" t="n">
        <x:v>-27494294.802576333</x:v>
      </x:c>
      <x:c r="Z71" s="14" t="n">
        <x:v>-1.8135606297039488</x:v>
      </x:c>
      <x:c r="AA71" s="14" t="n">
        <x:v>0.02822310333692185</x:v>
      </x:c>
      <x:c r="AB71" s="14" t="n">
        <x:v>0.05000802430569841</x:v>
      </x:c>
      <x:c r="AC71" s="12" t="n">
        <x:v>568363645.9479169</x:v>
      </x:c>
      <x:c r="AD71" s="12" t="n">
        <x:v>9563811.35008514</x:v>
      </x:c>
      <x:c r="AE71" s="12" t="n">
        <x:v>10328916.258091949</x:v>
      </x:c>
      <x:c r="AF71" s="12" t="n">
        <x:v>-13540694.911508221</x:v>
      </x:c>
      <x:c r="AG71" s="12" t="n">
        <x:v>-1169408.572812613</x:v>
      </x:c>
      <x:c r="AH71" s="13" t="n">
        <x:v>104000000</x:v>
      </x:c>
      <x:c r="AI71" s="13" t="n">
        <x:v>7000000</x:v>
      </x:c>
      <x:c r="AJ71" s="13" t="n">
        <x:v>630000000</x:v>
      </x:c>
      <x:c r="AK71" s="12" t="n">
        <x:v>299373000000</x:v>
      </x:c>
      <x:c r="AL71" s="14" t="n">
        <x:v>0.18613243120519987</x:v>
      </x:c>
      <x:c r="AM71" s="13" t="n">
        <x:v>49</x:v>
      </x:c>
      <x:c r="AN71" s="13" t="n">
        <x:v>68</x:v>
      </x:c>
      <x:c r="AO71" s="14" t="n">
        <x:v>72.05882352941177</x:v>
      </x:c>
      <x:c r="AP71" s="10" t="str">
        <x:v>Medium</x:v>
      </x:c>
      <x:c r="AQ71" s="10" t="str">
        <x:v>Issuer facility-to-FEMA county match</x:v>
      </x:c>
      <x:c r="AR71" s="14" t="n">
        <x:v>0.18613243120519987</x:v>
      </x:c>
      <x:c r="AS71" s="14" t="n">
        <x:v>7.164771051868868</x:v>
      </x:c>
      <x:c r="AT71" s="14" t="n">
        <x:v>7.579869737287252</x:v>
      </x:c>
      <x:c r="AU71" s="14" t="n">
        <x:v>5.418008975739499</x:v>
      </x:c>
      <x:c r="AV71" s="14" t="n">
        <x:v>1.7999999999999998</x:v>
      </x:c>
      <x:c r="AW71" s="10" t="n">
        <x:v>0.5</x:v>
      </x:c>
      <x:c r="AX71" s="10" t="n">
        <x:v>0.7</x:v>
      </x:c>
      <x:c r="AY71" s="10" t="n">
        <x:v>0.25</x:v>
      </x:c>
      <x:c r="AZ71" s="10" t="n">
        <x:v>0.0015</x:v>
      </x:c>
      <x:c r="BA71" s="10" t="n">
        <x:v>0.05</x:v>
      </x:c>
      <x:c r="BB71" s="10" t="n">
        <x:v>0.27</x:v>
      </x:c>
      <x:c r="BC71" s="10" t="n">
        <x:v>0.7</x:v>
      </x:c>
      <x:c r="BD71" s="10" t="n">
        <x:v>0.05</x:v>
      </x:c>
      <x:c r="BE71" s="10" t="n">
        <x:v>0.15</x:v>
      </x:c>
      <x:c r="BF71" s="10" t="n">
        <x:v>0.7</x:v>
      </x:c>
      <x:c r="BG71" s="10" t="n">
        <x:v>0.35</x:v>
      </x:c>
      <x:c r="BH71" s="10" t="n">
        <x:v>1.0456609582451413</x:v>
      </x:c>
      <x:c r="BI71" s="10" t="str">
        <x:v>Common scenario elasticity + issuer SEC CapEx/CFO dependency scale</x:v>
      </x:c>
      <x:c r="BJ71" s="10" t="str">
        <x:v>Modeled estimate using observed inputs + disclosed assumptions</x:v>
      </x:c>
      <x:c r="BK71" s="11" t="b">
        <x:v>0</x:v>
      </x:c>
      <x:c r="BL71" s="11" t="b">
        <x:v>0</x:v>
      </x:c>
      <x:c r="BM71" s="11" t="b">
        <x:v>0</x:v>
      </x:c>
      <x:c r="BN71" s="10" t="str">
        <x:v>Conditional scenario sensitivity; not a forecast or probability</x:v>
      </x:c>
      <x:c r="BO71" s="14" t="n">
        <x:v>101.76597498700994</x:v>
      </x:c>
    </x:row>
    <x:row r="72" ht="18" customHeight="1">
      <x:c r="A72" s="10" t="str">
        <x:v>XOM</x:v>
      </x:c>
      <x:c r="B72" s="10" t="str">
        <x:v>Energy</x:v>
      </x:c>
      <x:c r="C72" s="10" t="str">
        <x:v>below2c_vs_cp</x:v>
      </x:c>
      <x:c r="D72" s="10" t="str">
        <x:v>Below 2°C vs Current Policies</x:v>
      </x:c>
      <x:c r="E72" s="10" t="str">
        <x:v>Below 2°C vs CP</x:v>
      </x:c>
      <x:c r="F72" s="10" t="str">
        <x:v>below_2c</x:v>
      </x:c>
      <x:c r="G72" s="10" t="str">
        <x:v>current_policies</x:v>
      </x:c>
      <x:c r="H72" s="10" t="n">
        <x:v>2050</x:v>
      </x:c>
      <x:c r="I72" s="10" t="str">
        <x:v>base</x:v>
      </x:c>
      <x:c r="J72" s="11" t="b">
        <x:v>1</x:v>
      </x:c>
      <x:c r="K72" s="10" t="str">
        <x:v>CFP-2026-003-R17-20260804T234500Z</x:v>
      </x:c>
      <x:c r="L7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2" s="14" t="n">
        <x:v>-6.493744910939403</x:v>
      </x:c>
      <x:c r="N72" s="12" t="n">
        <x:v>667438688216.532</x:v>
      </x:c>
      <x:c r="O72" s="12" t="n">
        <x:v>624096922366.8302</x:v>
      </x:c>
      <x:c r="P72" s="12" t="n">
        <x:v>36852965864.99589</x:v>
      </x:c>
      <x:c r="Q72" s="12" t="n">
        <x:v>34411101363.28512</x:v>
      </x:c>
      <x:c r="R72" s="12" t="n">
        <x:v>-2441864501.7107697</x:v>
      </x:c>
      <x:c r="S72" s="12" t="n">
        <x:v>24046905786.56586</x:v>
      </x:c>
      <x:c r="T72" s="14" t="n">
        <x:v>6.736808061729123</x:v>
      </x:c>
      <x:c r="U72" s="14" t="n">
        <x:v>-0.11051221309618464</x:v>
      </x:c>
      <x:c r="V72" s="14" t="n">
        <x:v>-0.1254793149894169</x:v>
      </x:c>
      <x:c r="W72" s="12" t="n">
        <x:v>2530508648.512083</x:v>
      </x:c>
      <x:c r="X72" s="12" t="n">
        <x:v>-41511069.996898174</x:v>
      </x:c>
      <x:c r="Y72" s="12" t="n">
        <x:v>-47133076.80441654</x:v>
      </x:c>
      <x:c r="Z72" s="14" t="n">
        <x:v>-6.660041219521791</x:v>
      </x:c>
      <x:c r="AA72" s="14" t="n">
        <x:v>0.07996289131649319</x:v>
      </x:c>
      <x:c r="AB72" s="14" t="n">
        <x:v>0.08633341726589219</x:v>
      </x:c>
      <x:c r="AC72" s="12" t="n">
        <x:v>2392045986.5956798</x:v>
      </x:c>
      <x:c r="AD72" s="12" t="n">
        <x:v>80501547.62581612</x:v>
      </x:c>
      <x:c r="AE72" s="12" t="n">
        <x:v>57961114.29058761</x:v>
      </x:c>
      <x:c r="AF72" s="12" t="n">
        <x:v>-37613041.42085616</x:v>
      </x:c>
      <x:c r="AG72" s="12" t="n">
        <x:v>-3898028.576042041</x:v>
      </x:c>
      <x:c r="AH72" s="13" t="n">
        <x:v>104000000</x:v>
      </x:c>
      <x:c r="AI72" s="13" t="n">
        <x:v>7000000</x:v>
      </x:c>
      <x:c r="AJ72" s="13" t="n">
        <x:v>630000000</x:v>
      </x:c>
      <x:c r="AK72" s="12" t="n">
        <x:v>299373000000</x:v>
      </x:c>
      <x:c r="AL72" s="14" t="n">
        <x:v>0.18613243120519987</x:v>
      </x:c>
      <x:c r="AM72" s="13" t="n">
        <x:v>49</x:v>
      </x:c>
      <x:c r="AN72" s="13" t="n">
        <x:v>68</x:v>
      </x:c>
      <x:c r="AO72" s="14" t="n">
        <x:v>72.05882352941177</x:v>
      </x:c>
      <x:c r="AP72" s="10" t="str">
        <x:v>Medium</x:v>
      </x:c>
      <x:c r="AQ72" s="10" t="str">
        <x:v>Issuer facility-to-FEMA county match</x:v>
      </x:c>
      <x:c r="AR72" s="14" t="n">
        <x:v>0.18613243120519987</x:v>
      </x:c>
      <x:c r="AS72" s="14" t="n">
        <x:v>7.164771051868868</x:v>
      </x:c>
      <x:c r="AT72" s="14" t="n">
        <x:v>7.579869737287252</x:v>
      </x:c>
      <x:c r="AU72" s="14" t="n">
        <x:v>5.418008975739499</x:v>
      </x:c>
      <x:c r="AV72" s="14" t="n">
        <x:v>1.7999999999999998</x:v>
      </x:c>
      <x:c r="AW72" s="10" t="n">
        <x:v>0.75</x:v>
      </x:c>
      <x:c r="AX72" s="10" t="n">
        <x:v>0.5</x:v>
      </x:c>
      <x:c r="AY72" s="10" t="n">
        <x:v>0.5</x:v>
      </x:c>
      <x:c r="AZ72" s="10" t="n">
        <x:v>0.003</x:v>
      </x:c>
      <x:c r="BA72" s="10" t="n">
        <x:v>0.03</x:v>
      </x:c>
      <x:c r="BB72" s="10" t="n">
        <x:v>0.45</x:v>
      </x:c>
      <x:c r="BC72" s="10" t="n">
        <x:v>0.5</x:v>
      </x:c>
      <x:c r="BD72" s="10" t="n">
        <x:v>0.1</x:v>
      </x:c>
      <x:c r="BE72" s="10" t="n">
        <x:v>0.25</x:v>
      </x:c>
      <x:c r="BF72" s="10" t="n">
        <x:v>0.7</x:v>
      </x:c>
      <x:c r="BG72" s="10" t="n">
        <x:v>0.6</x:v>
      </x:c>
      <x:c r="BH72" s="10" t="n">
        <x:v>1.0456609582451413</x:v>
      </x:c>
      <x:c r="BI72" s="10" t="str">
        <x:v>Common scenario elasticity + issuer SEC CapEx/CFO dependency scale</x:v>
      </x:c>
      <x:c r="BJ72" s="10" t="str">
        <x:v>Modeled estimate using observed inputs + disclosed assumptions</x:v>
      </x:c>
      <x:c r="BK72" s="11" t="b">
        <x:v>0</x:v>
      </x:c>
      <x:c r="BL72" s="11" t="b">
        <x:v>0</x:v>
      </x:c>
      <x:c r="BM72" s="11" t="b">
        <x:v>0</x:v>
      </x:c>
      <x:c r="BN72" s="10" t="str">
        <x:v>Conditional scenario sensitivity; not a forecast or probability</x:v>
      </x:c>
      <x:c r="BO72" s="14" t="n">
        <x:v>106.9447171258804</x:v>
      </x:c>
    </x:row>
    <x:row r="73" ht="18" customHeight="1">
      <x:c r="A73" s="10" t="str">
        <x:v>XOM</x:v>
      </x:c>
      <x:c r="B73" s="10" t="str">
        <x:v>Energy</x:v>
      </x:c>
      <x:c r="C73" s="10" t="str">
        <x:v>below2c_vs_cp</x:v>
      </x:c>
      <x:c r="D73" s="10" t="str">
        <x:v>Below 2°C vs Current Policies</x:v>
      </x:c>
      <x:c r="E73" s="10" t="str">
        <x:v>Below 2°C vs CP</x:v>
      </x:c>
      <x:c r="F73" s="10" t="str">
        <x:v>below_2c</x:v>
      </x:c>
      <x:c r="G73" s="10" t="str">
        <x:v>current_policies</x:v>
      </x:c>
      <x:c r="H73" s="10" t="n">
        <x:v>2050</x:v>
      </x:c>
      <x:c r="I73" s="10" t="str">
        <x:v>high</x:v>
      </x:c>
      <x:c r="J73" s="11" t="b">
        <x:v>1</x:v>
      </x:c>
      <x:c r="K73" s="10" t="str">
        <x:v>CFP-2026-003-R17-20260804T234500Z</x:v>
      </x:c>
      <x:c r="L7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3" s="14" t="n">
        <x:v>-18.538500278864255</x:v>
      </x:c>
      <x:c r="N73" s="12" t="n">
        <x:v>658363157489.7992</x:v>
      </x:c>
      <x:c r="O73" s="12" t="n">
        <x:v>536312501702.6133</x:v>
      </x:c>
      <x:c r="P73" s="12" t="n">
        <x:v>36179337989.60489</x:v>
      </x:c>
      <x:c r="Q73" s="12" t="n">
        <x:v>28258257896.450592</x:v>
      </x:c>
      <x:c r="R73" s="12" t="n">
        <x:v>-7921080093.154297</x:v>
      </x:c>
      <x:c r="S73" s="12" t="n">
        <x:v>24046905786.56586</x:v>
      </x:c>
      <x:c r="T73" s="14" t="n">
        <x:v>21.519369445654625</x:v>
      </x:c>
      <x:c r="U73" s="14" t="n">
        <x:v>-0.22246256469924106</x:v>
      </x:c>
      <x:c r="V73" s="14" t="n">
        <x:v>-0.2091321916490279</x:v>
      </x:c>
      <x:c r="W73" s="12" t="n">
        <x:v>8083197560.89041</x:v>
      </x:c>
      <x:c r="X73" s="12" t="n">
        <x:v>-83562339.72875261</x:v>
      </x:c>
      <x:c r="Y73" s="12" t="n">
        <x:v>-78555128.00736082</x:v>
      </x:c>
      <x:c r="Z73" s="14" t="n">
        <x:v>-18.84564815555255</x:v>
      </x:c>
      <x:c r="AA73" s="14" t="n">
        <x:v>0.16127533883016243</x:v>
      </x:c>
      <x:c r="AB73" s="14" t="n">
        <x:v>0.14587253785813808</x:v>
      </x:c>
      <x:c r="AC73" s="12" t="n">
        <x:v>7437428526.343472</x:v>
      </x:c>
      <x:c r="AD73" s="12" t="n">
        <x:v>375447113.1086849</x:v>
      </x:c>
      <x:c r="AE73" s="12" t="n">
        <x:v>270321921.4382531</x:v>
      </x:c>
      <x:c r="AF73" s="12" t="n">
        <x:v>-71088648.28541812</x:v>
      </x:c>
      <x:c r="AG73" s="12" t="n">
        <x:v>-12473691.44333449</x:v>
      </x:c>
      <x:c r="AH73" s="13" t="n">
        <x:v>104000000</x:v>
      </x:c>
      <x:c r="AI73" s="13" t="n">
        <x:v>7000000</x:v>
      </x:c>
      <x:c r="AJ73" s="13" t="n">
        <x:v>630000000</x:v>
      </x:c>
      <x:c r="AK73" s="12" t="n">
        <x:v>299373000000</x:v>
      </x:c>
      <x:c r="AL73" s="14" t="n">
        <x:v>0.18613243120519987</x:v>
      </x:c>
      <x:c r="AM73" s="13" t="n">
        <x:v>49</x:v>
      </x:c>
      <x:c r="AN73" s="13" t="n">
        <x:v>68</x:v>
      </x:c>
      <x:c r="AO73" s="14" t="n">
        <x:v>72.05882352941177</x:v>
      </x:c>
      <x:c r="AP73" s="10" t="str">
        <x:v>Medium</x:v>
      </x:c>
      <x:c r="AQ73" s="10" t="str">
        <x:v>Issuer facility-to-FEMA county match</x:v>
      </x:c>
      <x:c r="AR73" s="14" t="n">
        <x:v>0.18613243120519987</x:v>
      </x:c>
      <x:c r="AS73" s="14" t="n">
        <x:v>7.164771051868868</x:v>
      </x:c>
      <x:c r="AT73" s="14" t="n">
        <x:v>7.579869737287252</x:v>
      </x:c>
      <x:c r="AU73" s="14" t="n">
        <x:v>5.418008975739499</x:v>
      </x:c>
      <x:c r="AV73" s="14" t="n">
        <x:v>1.7999999999999998</x:v>
      </x:c>
      <x:c r="AW73" s="10" t="n">
        <x:v>1</x:v>
      </x:c>
      <x:c r="AX73" s="10" t="n">
        <x:v>0.3</x:v>
      </x:c>
      <x:c r="AY73" s="10" t="n">
        <x:v>0.75</x:v>
      </x:c>
      <x:c r="AZ73" s="10" t="n">
        <x:v>0.006</x:v>
      </x:c>
      <x:c r="BA73" s="10" t="n">
        <x:v>0.01</x:v>
      </x:c>
      <x:c r="BB73" s="10" t="n">
        <x:v>0.6075</x:v>
      </x:c>
      <x:c r="BC73" s="10" t="n">
        <x:v>0.3</x:v>
      </x:c>
      <x:c r="BD73" s="10" t="n">
        <x:v>0.2</x:v>
      </x:c>
      <x:c r="BE73" s="10" t="n">
        <x:v>0.4</x:v>
      </x:c>
      <x:c r="BF73" s="10" t="n">
        <x:v>0.7</x:v>
      </x:c>
      <x:c r="BG73" s="10" t="n">
        <x:v>1</x:v>
      </x:c>
      <x:c r="BH73" s="10" t="n">
        <x:v>1.0456609582451413</x:v>
      </x:c>
      <x:c r="BI73" s="10" t="str">
        <x:v>Common scenario elasticity + issuer SEC CapEx/CFO dependency scale</x:v>
      </x:c>
      <x:c r="BJ73" s="10" t="str">
        <x:v>Modeled estimate using observed inputs + disclosed assumptions</x:v>
      </x:c>
      <x:c r="BK73" s="11" t="b">
        <x:v>0</x:v>
      </x:c>
      <x:c r="BL73" s="11" t="b">
        <x:v>0</x:v>
      </x:c>
      <x:c r="BM73" s="11" t="b">
        <x:v>0</x:v>
      </x:c>
      <x:c r="BN73" s="10" t="str">
        <x:v>Conditional scenario sensitivity; not a forecast or probability</x:v>
      </x:c>
      <x:c r="BO73" s="14" t="n">
        <x:v>122.7573766040724</x:v>
      </x:c>
    </x:row>
    <x:row r="74" ht="18" customHeight="1">
      <x:c r="A74" s="10" t="str">
        <x:v>AAPL</x:v>
      </x:c>
      <x:c r="B74" s="10" t="str">
        <x:v>Technology</x:v>
      </x:c>
      <x:c r="C74" s="10" t="str">
        <x:v>cp_vs_delayed</x:v>
      </x:c>
      <x:c r="D74" s="10" t="str">
        <x:v>Current Policies vs Delayed Transition</x:v>
      </x:c>
      <x:c r="E74" s="10" t="str">
        <x:v>CP vs delayed</x:v>
      </x:c>
      <x:c r="F74" s="10" t="str">
        <x:v>current_policies</x:v>
      </x:c>
      <x:c r="G74" s="10" t="str">
        <x:v>delayed_transition</x:v>
      </x:c>
      <x:c r="H74" s="10" t="n">
        <x:v>2050</x:v>
      </x:c>
      <x:c r="I74" s="10" t="str">
        <x:v>low</x:v>
      </x:c>
      <x:c r="J74" s="11" t="b">
        <x:v>1</x:v>
      </x:c>
      <x:c r="K74" s="10" t="str">
        <x:v>CFP-2026-003-R17-20260804T234500Z</x:v>
      </x:c>
      <x:c r="L7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4" s="14" t="n">
        <x:v>0.49606247798952285</x:v>
      </x:c>
      <x:c r="N74" s="12" t="n">
        <x:v>1500275994658.9102</x:v>
      </x:c>
      <x:c r="O74" s="12" t="n">
        <x:v>1507718300934.697</x:v>
      </x:c>
      <x:c r="P74" s="12" t="n">
        <x:v>187777642270.58337</x:v>
      </x:c>
      <x:c r="Q74" s="12" t="n">
        <x:v>189627574241.53833</x:v>
      </x:c>
      <x:c r="R74" s="12" t="n">
        <x:v>1849931970.954956</x:v>
      </x:c>
      <x:c r="S74" s="12" t="n">
        <x:v>102784466009.31221</x:v>
      </x:c>
      <x:c r="T74" s="14" t="n">
        <x:v>-0.006262035327662516</x:v>
      </x:c>
      <x:c r="U74" s="14" t="n">
        <x:v>0.0025933532817954616</x:v>
      </x:c>
      <x:c r="V74" s="14" t="n">
        <x:v>-0.9671355016953409</x:v>
      </x:c>
      <x:c r="W74" s="12" t="n">
        <x:v>-11932725.00253293</x:v>
      </x:c>
      <x:c r="X74" s="12" t="n">
        <x:v>4941807.24426429</x:v>
      </x:c>
      <x:c r="Y74" s="12" t="n">
        <x:v>-1842941053.1966875</x:v>
      </x:c>
      <x:c r="Z74" s="14" t="n">
        <x:v>0.0027842204636089603</x:v>
      </x:c>
      <x:c r="AA74" s="14" t="n">
        <x:v>-0.0008324295340987251</x:v>
      </x:c>
      <x:c r="AB74" s="14" t="n">
        <x:v>0.49411068706000694</x:v>
      </x:c>
      <x:c r="AC74" s="12" t="n">
        <x:v>-1838750.5621880596</x:v>
      </x:c>
      <x:c r="AD74" s="12" t="n">
        <x:v>-27481.326337049803</x:v>
      </x:c>
      <x:c r="AE74" s="12" t="n">
        <x:v>-10066493.11400782</x:v>
      </x:c>
      <x:c r="AF74" s="12" t="n">
        <x:v>244986.4484182417</x:v>
      </x:c>
      <x:c r="AG74" s="12" t="n">
        <x:v>4696820.795846045</x:v>
      </x:c>
      <x:c r="AH74" s="13" t="n">
        <x:v>55200</x:v>
      </x:c>
      <x:c r="AI74" s="13" t="n">
        <x:v>3300</x:v>
      </x:c>
      <x:c r="AJ74" s="13" t="n">
        <x:v>15110000</x:v>
      </x:c>
      <x:c r="AK74" s="12" t="n">
        <x:v>50159000000</x:v>
      </x:c>
      <x:c r="AL74" s="14" t="n">
        <x:v>0.18089619337783003</x:v>
      </x:c>
      <x:c r="AM74" s="13" t="n">
        <x:v>0</x:v>
      </x:c>
      <x:c r="AN74" s="13" t="n">
        <x:v>0</x:v>
      </x:c>
      <x:c r="AO74" s="14"/>
      <x:c r="AP74" s="10" t="str">
        <x:v>Unverified</x:v>
      </x:c>
      <x:c r="AQ74" s="10" t="str">
        <x:v>Proxy fallback; no issuer facilities in governed match file</x:v>
      </x:c>
      <x:c r="AR74" s="14"/>
      <x:c r="AS74" s="14" t="n">
        <x:v>7.579869737287252</x:v>
      </x:c>
      <x:c r="AT74" s="14" t="n">
        <x:v>7.251231109814821</x:v>
      </x:c>
      <x:c r="AU74" s="14" t="n">
        <x:v>9.468635607765986</x:v>
      </x:c>
      <x:c r="AV74" s="14" t="n">
        <x:v>2.5</x:v>
      </x:c>
      <x:c r="AW74" s="10" t="n">
        <x:v>0.5</x:v>
      </x:c>
      <x:c r="AX74" s="10" t="n">
        <x:v>0.7</x:v>
      </x:c>
      <x:c r="AY74" s="10" t="n">
        <x:v>0.25</x:v>
      </x:c>
      <x:c r="AZ74" s="10" t="n">
        <x:v>0.01</x:v>
      </x:c>
      <x:c r="BA74" s="10" t="n">
        <x:v>0.05</x:v>
      </x:c>
      <x:c r="BB74" s="10" t="n">
        <x:v>0.06</x:v>
      </x:c>
      <x:c r="BC74" s="10" t="n">
        <x:v>0.7</x:v>
      </x:c>
      <x:c r="BD74" s="10" t="n">
        <x:v>0.05</x:v>
      </x:c>
      <x:c r="BE74" s="10" t="n">
        <x:v>0.15</x:v>
      </x:c>
      <x:c r="BF74" s="10" t="n">
        <x:v>1</x:v>
      </x:c>
      <x:c r="BG74" s="10" t="n">
        <x:v>0.35</x:v>
      </x:c>
      <x:c r="BH74" s="10" t="n">
        <x:v>0.6140542867906926</x:v>
      </x:c>
      <x:c r="BI74" s="10" t="str">
        <x:v>Common scenario elasticity + issuer SEC CapEx/CFO dependency scale</x:v>
      </x:c>
      <x:c r="BJ74" s="10" t="str">
        <x:v>Modeled estimate using observed inputs + disclosed assumptions</x:v>
      </x:c>
      <x:c r="BK74" s="11" t="b">
        <x:v>0</x:v>
      </x:c>
      <x:c r="BL74" s="11" t="b">
        <x:v>0</x:v>
      </x:c>
      <x:c r="BM74" s="11" t="b">
        <x:v>0</x:v>
      </x:c>
      <x:c r="BN74" s="10" t="str">
        <x:v>Conditional scenario sensitivity; not a forecast or probability</x:v>
      </x:c>
      <x:c r="BO74" s="14" t="n">
        <x:v>99.50638615508129</x:v>
      </x:c>
    </x:row>
    <x:row r="75" ht="18" customHeight="1">
      <x:c r="A75" s="10" t="str">
        <x:v>AAPL</x:v>
      </x:c>
      <x:c r="B75" s="10" t="str">
        <x:v>Technology</x:v>
      </x:c>
      <x:c r="C75" s="10" t="str">
        <x:v>cp_vs_delayed</x:v>
      </x:c>
      <x:c r="D75" s="10" t="str">
        <x:v>Current Policies vs Delayed Transition</x:v>
      </x:c>
      <x:c r="E75" s="10" t="str">
        <x:v>CP vs delayed</x:v>
      </x:c>
      <x:c r="F75" s="10" t="str">
        <x:v>current_policies</x:v>
      </x:c>
      <x:c r="G75" s="10" t="str">
        <x:v>delayed_transition</x:v>
      </x:c>
      <x:c r="H75" s="10" t="n">
        <x:v>2050</x:v>
      </x:c>
      <x:c r="I75" s="10" t="str">
        <x:v>base</x:v>
      </x:c>
      <x:c r="J75" s="11" t="b">
        <x:v>1</x:v>
      </x:c>
      <x:c r="K75" s="10" t="str">
        <x:v>CFP-2026-003-R17-20260804T234500Z</x:v>
      </x:c>
      <x:c r="L7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5" s="14" t="n">
        <x:v>0.863604956260744</x:v>
      </x:c>
      <x:c r="N75" s="12" t="n">
        <x:v>1490584796962.4043</x:v>
      </x:c>
      <x:c r="O75" s="12" t="n">
        <x:v>1503457561146.2407</x:v>
      </x:c>
      <x:c r="P75" s="12" t="n">
        <x:v>185579249975.9262</x:v>
      </x:c>
      <x:c r="Q75" s="12" t="n">
        <x:v>188786699408.97568</x:v>
      </x:c>
      <x:c r="R75" s="12" t="n">
        <x:v>3207449433.049469</x:v>
      </x:c>
      <x:c r="S75" s="12" t="n">
        <x:v>102784466009.31221</x:v>
      </x:c>
      <x:c r="T75" s="14" t="n">
        <x:v>-0.03382642332831928</x:v>
      </x:c>
      <x:c r="U75" s="14" t="n">
        <x:v>0.008573086730567005</x:v>
      </x:c>
      <x:c r="V75" s="14" t="n">
        <x:v>-1.6579465743348707</x:v>
      </x:c>
      <x:c r="W75" s="12" t="n">
        <x:v>-64458500.51548165</x:v>
      </x:c>
      <x:c r="X75" s="12" t="n">
        <x:v>16336587.231759787</x:v>
      </x:c>
      <x:c r="Y75" s="12" t="n">
        <x:v>-3159327519.765751</x:v>
      </x:c>
      <x:c r="Z75" s="14" t="n">
        <x:v>0.013799808362023193</x:v>
      </x:c>
      <x:c r="AA75" s="14" t="n">
        <x:v>-0.002748910858662231</x:v>
      </x:c>
      <x:c r="AB75" s="14" t="n">
        <x:v>0.8525540587573799</x:v>
      </x:c>
      <x:c r="AC75" s="12" t="n">
        <x:v>-7738665.085267524</x:v>
      </x:c>
      <x:c r="AD75" s="12" t="n">
        <x:v>-231318.79330962707</x:v>
      </x:c>
      <x:c r="AE75" s="12" t="n">
        <x:v>-56488516.6369045</x:v>
      </x:c>
      <x:c r="AF75" s="12" t="n">
        <x:v>680517.9122728934</x:v>
      </x:c>
      <x:c r="AG75" s="12" t="n">
        <x:v>15656069.319486856</x:v>
      </x:c>
      <x:c r="AH75" s="13" t="n">
        <x:v>55200</x:v>
      </x:c>
      <x:c r="AI75" s="13" t="n">
        <x:v>3300</x:v>
      </x:c>
      <x:c r="AJ75" s="13" t="n">
        <x:v>15110000</x:v>
      </x:c>
      <x:c r="AK75" s="12" t="n">
        <x:v>50159000000</x:v>
      </x:c>
      <x:c r="AL75" s="14" t="n">
        <x:v>0.18089619337783003</x:v>
      </x:c>
      <x:c r="AM75" s="13" t="n">
        <x:v>0</x:v>
      </x:c>
      <x:c r="AN75" s="13" t="n">
        <x:v>0</x:v>
      </x:c>
      <x:c r="AO75" s="14"/>
      <x:c r="AP75" s="10" t="str">
        <x:v>Unverified</x:v>
      </x:c>
      <x:c r="AQ75" s="10" t="str">
        <x:v>Proxy fallback; no issuer facilities in governed match file</x:v>
      </x:c>
      <x:c r="AR75" s="14"/>
      <x:c r="AS75" s="14" t="n">
        <x:v>7.579869737287252</x:v>
      </x:c>
      <x:c r="AT75" s="14" t="n">
        <x:v>7.251231109814821</x:v>
      </x:c>
      <x:c r="AU75" s="14" t="n">
        <x:v>9.468635607765986</x:v>
      </x:c>
      <x:c r="AV75" s="14" t="n">
        <x:v>2.5</x:v>
      </x:c>
      <x:c r="AW75" s="10" t="n">
        <x:v>0.75</x:v>
      </x:c>
      <x:c r="AX75" s="10" t="n">
        <x:v>0.5</x:v>
      </x:c>
      <x:c r="AY75" s="10" t="n">
        <x:v>0.5</x:v>
      </x:c>
      <x:c r="AZ75" s="10" t="n">
        <x:v>0.02</x:v>
      </x:c>
      <x:c r="BA75" s="10" t="n">
        <x:v>0.03</x:v>
      </x:c>
      <x:c r="BB75" s="10" t="n">
        <x:v>0.1</x:v>
      </x:c>
      <x:c r="BC75" s="10" t="n">
        <x:v>0.5</x:v>
      </x:c>
      <x:c r="BD75" s="10" t="n">
        <x:v>0.1</x:v>
      </x:c>
      <x:c r="BE75" s="10" t="n">
        <x:v>0.25</x:v>
      </x:c>
      <x:c r="BF75" s="10" t="n">
        <x:v>1</x:v>
      </x:c>
      <x:c r="BG75" s="10" t="n">
        <x:v>0.6</x:v>
      </x:c>
      <x:c r="BH75" s="10" t="n">
        <x:v>0.6140542867906926</x:v>
      </x:c>
      <x:c r="BI75" s="10" t="str">
        <x:v>Common scenario elasticity + issuer SEC CapEx/CFO dependency scale</x:v>
      </x:c>
      <x:c r="BJ75" s="10" t="str">
        <x:v>Modeled estimate using observed inputs + disclosed assumptions</x:v>
      </x:c>
      <x:c r="BK75" s="11" t="b">
        <x:v>0</x:v>
      </x:c>
      <x:c r="BL75" s="11" t="b">
        <x:v>0</x:v>
      </x:c>
      <x:c r="BM75" s="11" t="b">
        <x:v>0</x:v>
      </x:c>
      <x:c r="BN75" s="10" t="str">
        <x:v>Conditional scenario sensitivity; not a forecast or probability</x:v>
      </x:c>
      <x:c r="BO75" s="14" t="n">
        <x:v>99.14378932159401</x:v>
      </x:c>
    </x:row>
    <x:row r="76" ht="18" customHeight="1">
      <x:c r="A76" s="10" t="str">
        <x:v>AAPL</x:v>
      </x:c>
      <x:c r="B76" s="10" t="str">
        <x:v>Technology</x:v>
      </x:c>
      <x:c r="C76" s="10" t="str">
        <x:v>cp_vs_delayed</x:v>
      </x:c>
      <x:c r="D76" s="10" t="str">
        <x:v>Current Policies vs Delayed Transition</x:v>
      </x:c>
      <x:c r="E76" s="10" t="str">
        <x:v>CP vs delayed</x:v>
      </x:c>
      <x:c r="F76" s="10" t="str">
        <x:v>current_policies</x:v>
      </x:c>
      <x:c r="G76" s="10" t="str">
        <x:v>delayed_transition</x:v>
      </x:c>
      <x:c r="H76" s="10" t="n">
        <x:v>2050</x:v>
      </x:c>
      <x:c r="I76" s="10" t="str">
        <x:v>high</x:v>
      </x:c>
      <x:c r="J76" s="11" t="b">
        <x:v>1</x:v>
      </x:c>
      <x:c r="K76" s="10" t="str">
        <x:v>CFP-2026-003-R17-20260804T234500Z</x:v>
      </x:c>
      <x:c r="L7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6" s="14" t="n">
        <x:v>1.488301174739215</x:v>
      </x:c>
      <x:c r="N76" s="12" t="n">
        <x:v>1471816546074.698</x:v>
      </x:c>
      <x:c r="O76" s="12" t="n">
        <x:v>1493721609019.9338</x:v>
      </x:c>
      <x:c r="P76" s="12" t="n">
        <x:v>181548789081.93512</x:v>
      </x:c>
      <x:c r="Q76" s="12" t="n">
        <x:v>187051543444.54913</x:v>
      </x:c>
      <x:c r="R76" s="12" t="n">
        <x:v>5502754362.614014</x:v>
      </x:c>
      <x:c r="S76" s="12" t="n">
        <x:v>102784466009.31221</x:v>
      </x:c>
      <x:c r="T76" s="14" t="n">
        <x:v>-0.15144792413089214</x:v>
      </x:c>
      <x:c r="U76" s="14" t="n">
        <x:v>0.026966048970493643</x:v>
      </x:c>
      <x:c r="V76" s="14" t="n">
        <x:v>-2.763244290558118</x:v>
      </x:c>
      <x:c r="W76" s="12" t="n">
        <x:v>-288594097.01429945</x:v>
      </x:c>
      <x:c r="X76" s="12" t="n">
        <x:v>51385600.67655349</x:v>
      </x:c>
      <x:c r="Y76" s="12" t="n">
        <x:v>-5265545866.276251</x:v>
      </x:c>
      <x:c r="Z76" s="14" t="n">
        <x:v>0.057875978671518995</x:v>
      </x:c>
      <x:c r="AA76" s="14" t="n">
        <x:v>-0.008617509312878444</x:v>
      </x:c>
      <x:c r="AB76" s="14" t="n">
        <x:v>1.4390427053805723</x:v>
      </x:c>
      <x:c r="AC76" s="12" t="n">
        <x:v>-24061313.529719945</x:v>
      </x:c>
      <x:c r="AD76" s="12" t="n">
        <x:v>-1078836.0685879868</x:v>
      </x:c>
      <x:c r="AE76" s="12" t="n">
        <x:v>-263453947.41599154</x:v>
      </x:c>
      <x:c r="AF76" s="12" t="n">
        <x:v>1286178.854195768</x:v>
      </x:c>
      <x:c r="AG76" s="12" t="n">
        <x:v>50099421.822357655</x:v>
      </x:c>
      <x:c r="AH76" s="13" t="n">
        <x:v>55200</x:v>
      </x:c>
      <x:c r="AI76" s="13" t="n">
        <x:v>3300</x:v>
      </x:c>
      <x:c r="AJ76" s="13" t="n">
        <x:v>15110000</x:v>
      </x:c>
      <x:c r="AK76" s="12" t="n">
        <x:v>50159000000</x:v>
      </x:c>
      <x:c r="AL76" s="14" t="n">
        <x:v>0.18089619337783003</x:v>
      </x:c>
      <x:c r="AM76" s="13" t="n">
        <x:v>0</x:v>
      </x:c>
      <x:c r="AN76" s="13" t="n">
        <x:v>0</x:v>
      </x:c>
      <x:c r="AO76" s="14"/>
      <x:c r="AP76" s="10" t="str">
        <x:v>Unverified</x:v>
      </x:c>
      <x:c r="AQ76" s="10" t="str">
        <x:v>Proxy fallback; no issuer facilities in governed match file</x:v>
      </x:c>
      <x:c r="AR76" s="14"/>
      <x:c r="AS76" s="14" t="n">
        <x:v>7.579869737287252</x:v>
      </x:c>
      <x:c r="AT76" s="14" t="n">
        <x:v>7.251231109814821</x:v>
      </x:c>
      <x:c r="AU76" s="14" t="n">
        <x:v>9.468635607765986</x:v>
      </x:c>
      <x:c r="AV76" s="14" t="n">
        <x:v>2.5</x:v>
      </x:c>
      <x:c r="AW76" s="10" t="n">
        <x:v>1</x:v>
      </x:c>
      <x:c r="AX76" s="10" t="n">
        <x:v>0.3</x:v>
      </x:c>
      <x:c r="AY76" s="10" t="n">
        <x:v>0.75</x:v>
      </x:c>
      <x:c r="AZ76" s="10" t="n">
        <x:v>0.04</x:v>
      </x:c>
      <x:c r="BA76" s="10" t="n">
        <x:v>0.01</x:v>
      </x:c>
      <x:c r="BB76" s="10" t="n">
        <x:v>0.135</x:v>
      </x:c>
      <x:c r="BC76" s="10" t="n">
        <x:v>0.3</x:v>
      </x:c>
      <x:c r="BD76" s="10" t="n">
        <x:v>0.2</x:v>
      </x:c>
      <x:c r="BE76" s="10" t="n">
        <x:v>0.4</x:v>
      </x:c>
      <x:c r="BF76" s="10" t="n">
        <x:v>1</x:v>
      </x:c>
      <x:c r="BG76" s="10" t="n">
        <x:v>1</x:v>
      </x:c>
      <x:c r="BH76" s="10" t="n">
        <x:v>0.6140542867906926</x:v>
      </x:c>
      <x:c r="BI76" s="10" t="str">
        <x:v>Common scenario elasticity + issuer SEC CapEx/CFO dependency scale</x:v>
      </x:c>
      <x:c r="BJ76" s="10" t="str">
        <x:v>Modeled estimate using observed inputs + disclosed assumptions</x:v>
      </x:c>
      <x:c r="BK76" s="11" t="b">
        <x:v>0</x:v>
      </x:c>
      <x:c r="BL76" s="11" t="b">
        <x:v>0</x:v>
      </x:c>
      <x:c r="BM76" s="11" t="b">
        <x:v>0</x:v>
      </x:c>
      <x:c r="BN76" s="10" t="str">
        <x:v>Conditional scenario sensitivity; not a forecast or probability</x:v>
      </x:c>
      <x:c r="BO76" s="14" t="n">
        <x:v>98.53352439885981</x:v>
      </x:c>
    </x:row>
    <x:row r="77" ht="18" customHeight="1">
      <x:c r="A77" s="10" t="str">
        <x:v>CAT</x:v>
      </x:c>
      <x:c r="B77" s="10" t="str">
        <x:v>Industrials</x:v>
      </x:c>
      <x:c r="C77" s="10" t="str">
        <x:v>cp_vs_delayed</x:v>
      </x:c>
      <x:c r="D77" s="10" t="str">
        <x:v>Current Policies vs Delayed Transition</x:v>
      </x:c>
      <x:c r="E77" s="10" t="str">
        <x:v>CP vs delayed</x:v>
      </x:c>
      <x:c r="F77" s="10" t="str">
        <x:v>current_policies</x:v>
      </x:c>
      <x:c r="G77" s="10" t="str">
        <x:v>delayed_transition</x:v>
      </x:c>
      <x:c r="H77" s="10" t="n">
        <x:v>2050</x:v>
      </x:c>
      <x:c r="I77" s="10" t="str">
        <x:v>low</x:v>
      </x:c>
      <x:c r="J77" s="11" t="b">
        <x:v>1</x:v>
      </x:c>
      <x:c r="K77" s="10" t="str">
        <x:v>CFP-2026-003-R17-20260804T234500Z</x:v>
      </x:c>
      <x:c r="L7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7" s="14" t="n">
        <x:v>0.9246069176182425</x:v>
      </x:c>
      <x:c r="N77" s="12" t="n">
        <x:v>120185444088.99571</x:v>
      </x:c>
      <x:c r="O77" s="12" t="n">
        <x:v>121296687019.01277</x:v>
      </x:c>
      <x:c r="P77" s="12" t="n">
        <x:v>17796960768.484154</x:v>
      </x:c>
      <x:c r="Q77" s="12" t="n">
        <x:v>18219673443.99643</x:v>
      </x:c>
      <x:c r="R77" s="12" t="n">
        <x:v>422712675.5122757</x:v>
      </x:c>
      <x:c r="S77" s="12" t="n">
        <x:v>10636693843.707409</x:v>
      </x:c>
      <x:c r="T77" s="14" t="n">
        <x:v>-1.1437415827317983</x:v>
      </x:c>
      <x:c r="U77" s="14" t="n">
        <x:v>0.0031621982225963686</x:v>
      </x:c>
      <x:c r="V77" s="14" t="n">
        <x:v>-1.1659883720930233</x:v>
      </x:c>
      <x:c r="W77" s="12" t="n">
        <x:v>-209607570.8798617</x:v>
      </x:c>
      <x:c r="X77" s="12" t="n">
        <x:v>579519.6205911394</x:v>
      </x:c>
      <x:c r="Y77" s="12" t="n">
        <x:v>-213684624.25300622</x:v>
      </x:c>
      <x:c r="Z77" s="14" t="n">
        <x:v>0.41069150404037275</x:v>
      </x:c>
      <x:c r="AA77" s="14" t="n">
        <x:v>-0.0009269334197565003</x:v>
      </x:c>
      <x:c r="AB77" s="14" t="n">
        <x:v>0.5148423469976262</x:v>
      </x:c>
      <x:c r="AC77" s="12" t="n">
        <x:v>-22651275.041447114</x:v>
      </x:c>
      <x:c r="AD77" s="12" t="n">
        <x:v>-5746095.506837686</x:v>
      </x:c>
      <x:c r="AE77" s="12" t="n">
        <x:v>-181210200.3315769</x:v>
      </x:c>
      <x:c r="AF77" s="12" t="n">
        <x:v>127810.43137076392</x:v>
      </x:c>
      <x:c r="AG77" s="12" t="n">
        <x:v>451709.1892203763</x:v>
      </x:c>
      <x:c r="AH77" s="13" t="n">
        <x:v>680000</x:v>
      </x:c>
      <x:c r="AI77" s="13" t="n">
        <x:v>690000</x:v>
      </x:c>
      <x:c r="AJ77" s="13" t="n">
        <x:v>680000000</x:v>
      </x:c>
      <x:c r="AK77" s="12" t="n">
        <x:v>15140000000</x:v>
      </x:c>
      <x:c r="AL77" s="14" t="n">
        <x:v>0.1250652491518801</x:v>
      </x:c>
      <x:c r="AM77" s="13" t="n">
        <x:v>7</x:v>
      </x:c>
      <x:c r="AN77" s="13" t="n">
        <x:v>7</x:v>
      </x:c>
      <x:c r="AO77" s="14" t="n">
        <x:v>100</x:v>
      </x:c>
      <x:c r="AP77" s="10" t="str">
        <x:v>High</x:v>
      </x:c>
      <x:c r="AQ77" s="10" t="str">
        <x:v>Issuer facility-to-FEMA county match</x:v>
      </x:c>
      <x:c r="AR77" s="14" t="n">
        <x:v>0.1250652491518801</x:v>
      </x:c>
      <x:c r="AS77" s="14" t="n">
        <x:v>7.579869737287252</x:v>
      </x:c>
      <x:c r="AT77" s="14" t="n">
        <x:v>7.251231109814821</x:v>
      </x:c>
      <x:c r="AU77" s="14" t="n">
        <x:v>11.136677389433892</x:v>
      </x:c>
      <x:c r="AV77" s="14" t="n">
        <x:v>2.1999999999999997</x:v>
      </x:c>
      <x:c r="AW77" s="10" t="n">
        <x:v>0.5</x:v>
      </x:c>
      <x:c r="AX77" s="10" t="n">
        <x:v>0.7</x:v>
      </x:c>
      <x:c r="AY77" s="10" t="n">
        <x:v>0.25</x:v>
      </x:c>
      <x:c r="AZ77" s="10" t="n">
        <x:v>0.004</x:v>
      </x:c>
      <x:c r="BA77" s="10" t="n">
        <x:v>0.05</x:v>
      </x:c>
      <x:c r="BB77" s="10" t="n">
        <x:v>0.15</x:v>
      </x:c>
      <x:c r="BC77" s="10" t="n">
        <x:v>0.7</x:v>
      </x:c>
      <x:c r="BD77" s="10" t="n">
        <x:v>0.05</x:v>
      </x:c>
      <x:c r="BE77" s="10" t="n">
        <x:v>0.15</x:v>
      </x:c>
      <x:c r="BF77" s="10" t="n">
        <x:v>1</x:v>
      </x:c>
      <x:c r="BG77" s="10" t="n">
        <x:v>0.35</x:v>
      </x:c>
      <x:c r="BH77" s="10" t="n">
        <x:v>0.7403100775193798</x:v>
      </x:c>
      <x:c r="BI77" s="10" t="str">
        <x:v>Common scenario elasticity + issuer SEC CapEx/CFO dependency scale</x:v>
      </x:c>
      <x:c r="BJ77" s="10" t="str">
        <x:v>Modeled estimate using observed inputs + disclosed assumptions</x:v>
      </x:c>
      <x:c r="BK77" s="11" t="b">
        <x:v>0</x:v>
      </x:c>
      <x:c r="BL77" s="11" t="b">
        <x:v>0</x:v>
      </x:c>
      <x:c r="BM77" s="11" t="b">
        <x:v>0</x:v>
      </x:c>
      <x:c r="BN77" s="10" t="str">
        <x:v>Conditional scenario sensitivity; not a forecast or probability</x:v>
      </x:c>
      <x:c r="BO77" s="14" t="n">
        <x:v>99.08386374160172</x:v>
      </x:c>
    </x:row>
    <x:row r="78" ht="18" customHeight="1">
      <x:c r="A78" s="10" t="str">
        <x:v>CAT</x:v>
      </x:c>
      <x:c r="B78" s="10" t="str">
        <x:v>Industrials</x:v>
      </x:c>
      <x:c r="C78" s="10" t="str">
        <x:v>cp_vs_delayed</x:v>
      </x:c>
      <x:c r="D78" s="10" t="str">
        <x:v>Current Policies vs Delayed Transition</x:v>
      </x:c>
      <x:c r="E78" s="10" t="str">
        <x:v>CP vs delayed</x:v>
      </x:c>
      <x:c r="F78" s="10" t="str">
        <x:v>current_policies</x:v>
      </x:c>
      <x:c r="G78" s="10" t="str">
        <x:v>delayed_transition</x:v>
      </x:c>
      <x:c r="H78" s="10" t="n">
        <x:v>2050</x:v>
      </x:c>
      <x:c r="I78" s="10" t="str">
        <x:v>base</x:v>
      </x:c>
      <x:c r="J78" s="11" t="b">
        <x:v>1</x:v>
      </x:c>
      <x:c r="K78" s="10" t="str">
        <x:v>CFP-2026-003-R17-20260804T234500Z</x:v>
      </x:c>
      <x:c r="L7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8" s="14" t="n">
        <x:v>2.977112816608085</x:v>
      </x:c>
      <x:c r="N78" s="12" t="n">
        <x:v>117440083188.48146</x:v>
      </x:c>
      <x:c r="O78" s="12" t="n">
        <x:v>120936406956.92093</x:v>
      </x:c>
      <x:c r="P78" s="12" t="n">
        <x:v>16598427479.85918</x:v>
      </x:c>
      <x:c r="Q78" s="12" t="n">
        <x:v>18123449359.74854</x:v>
      </x:c>
      <x:c r="R78" s="12" t="n">
        <x:v>1525021879.8893585</x:v>
      </x:c>
      <x:c r="S78" s="12" t="n">
        <x:v>10636693843.707409</x:v>
      </x:c>
      <x:c r="T78" s="14" t="n">
        <x:v>-6.332727921134795</x:v>
      </x:c>
      <x:c r="U78" s="14" t="n">
        <x:v>0.010153211566125043</x:v>
      </x:c>
      <x:c r="V78" s="14" t="n">
        <x:v>-1.9988372093023257</x:v>
      </x:c>
      <x:c r="W78" s="12" t="n">
        <x:v>-1160566107.4433513</x:v>
      </x:c>
      <x:c r="X78" s="12" t="n">
        <x:v>1860726.273431152</x:v>
      </x:c>
      <x:c r="Y78" s="12" t="n">
        <x:v>-366316498.71943927</x:v>
      </x:c>
      <x:c r="Z78" s="14" t="n">
        <x:v>2.076844133508161</x:v>
      </x:c>
      <x:c r="AA78" s="14" t="n">
        <x:v>-0.0029501609966661783</x:v>
      </x:c>
      <x:c r="AB78" s="14" t="n">
        <x:v>0.9032188440965809</x:v>
      </x:c>
      <x:c r="AC78" s="12" t="n">
        <x:v>-95331381.48517965</x:v>
      </x:c>
      <x:c r="AD78" s="12" t="n">
        <x:v>-48366656.78292203</x:v>
      </x:c>
      <x:c r="AE78" s="12" t="n">
        <x:v>-1016868069.1752496</x:v>
      </x:c>
      <x:c r="AF78" s="12" t="n">
        <x:v>355028.97602989967</x:v>
      </x:c>
      <x:c r="AG78" s="12" t="n">
        <x:v>1505697.2974012569</x:v>
      </x:c>
      <x:c r="AH78" s="13" t="n">
        <x:v>680000</x:v>
      </x:c>
      <x:c r="AI78" s="13" t="n">
        <x:v>690000</x:v>
      </x:c>
      <x:c r="AJ78" s="13" t="n">
        <x:v>680000000</x:v>
      </x:c>
      <x:c r="AK78" s="12" t="n">
        <x:v>15140000000</x:v>
      </x:c>
      <x:c r="AL78" s="14" t="n">
        <x:v>0.1250652491518801</x:v>
      </x:c>
      <x:c r="AM78" s="13" t="n">
        <x:v>7</x:v>
      </x:c>
      <x:c r="AN78" s="13" t="n">
        <x:v>7</x:v>
      </x:c>
      <x:c r="AO78" s="14" t="n">
        <x:v>100</x:v>
      </x:c>
      <x:c r="AP78" s="10" t="str">
        <x:v>High</x:v>
      </x:c>
      <x:c r="AQ78" s="10" t="str">
        <x:v>Issuer facility-to-FEMA county match</x:v>
      </x:c>
      <x:c r="AR78" s="14" t="n">
        <x:v>0.1250652491518801</x:v>
      </x:c>
      <x:c r="AS78" s="14" t="n">
        <x:v>7.579869737287252</x:v>
      </x:c>
      <x:c r="AT78" s="14" t="n">
        <x:v>7.251231109814821</x:v>
      </x:c>
      <x:c r="AU78" s="14" t="n">
        <x:v>11.136677389433892</x:v>
      </x:c>
      <x:c r="AV78" s="14" t="n">
        <x:v>2.1999999999999997</x:v>
      </x:c>
      <x:c r="AW78" s="10" t="n">
        <x:v>0.75</x:v>
      </x:c>
      <x:c r="AX78" s="10" t="n">
        <x:v>0.5</x:v>
      </x:c>
      <x:c r="AY78" s="10" t="n">
        <x:v>0.5</x:v>
      </x:c>
      <x:c r="AZ78" s="10" t="n">
        <x:v>0.008</x:v>
      </x:c>
      <x:c r="BA78" s="10" t="n">
        <x:v>0.03</x:v>
      </x:c>
      <x:c r="BB78" s="10" t="n">
        <x:v>0.25</x:v>
      </x:c>
      <x:c r="BC78" s="10" t="n">
        <x:v>0.5</x:v>
      </x:c>
      <x:c r="BD78" s="10" t="n">
        <x:v>0.1</x:v>
      </x:c>
      <x:c r="BE78" s="10" t="n">
        <x:v>0.25</x:v>
      </x:c>
      <x:c r="BF78" s="10" t="n">
        <x:v>1</x:v>
      </x:c>
      <x:c r="BG78" s="10" t="n">
        <x:v>0.6</x:v>
      </x:c>
      <x:c r="BH78" s="10" t="n">
        <x:v>0.7403100775193798</x:v>
      </x:c>
      <x:c r="BI78" s="10" t="str">
        <x:v>Common scenario elasticity + issuer SEC CapEx/CFO dependency scale</x:v>
      </x:c>
      <x:c r="BJ78" s="10" t="str">
        <x:v>Modeled estimate using observed inputs + disclosed assumptions</x:v>
      </x:c>
      <x:c r="BK78" s="11" t="b">
        <x:v>0</x:v>
      </x:c>
      <x:c r="BL78" s="11" t="b">
        <x:v>0</x:v>
      </x:c>
      <x:c r="BM78" s="11" t="b">
        <x:v>0</x:v>
      </x:c>
      <x:c r="BN78" s="10" t="str">
        <x:v>Conditional scenario sensitivity; not a forecast or probability</x:v>
      </x:c>
      <x:c r="BO78" s="14" t="n">
        <x:v>97.10895680100295</x:v>
      </x:c>
    </x:row>
    <x:row r="79" ht="18" customHeight="1">
      <x:c r="A79" s="10" t="str">
        <x:v>CAT</x:v>
      </x:c>
      <x:c r="B79" s="10" t="str">
        <x:v>Industrials</x:v>
      </x:c>
      <x:c r="C79" s="10" t="str">
        <x:v>cp_vs_delayed</x:v>
      </x:c>
      <x:c r="D79" s="10" t="str">
        <x:v>Current Policies vs Delayed Transition</x:v>
      </x:c>
      <x:c r="E79" s="10" t="str">
        <x:v>CP vs delayed</x:v>
      </x:c>
      <x:c r="F79" s="10" t="str">
        <x:v>current_policies</x:v>
      </x:c>
      <x:c r="G79" s="10" t="str">
        <x:v>delayed_transition</x:v>
      </x:c>
      <x:c r="H79" s="10" t="n">
        <x:v>2050</x:v>
      </x:c>
      <x:c r="I79" s="10" t="str">
        <x:v>high</x:v>
      </x:c>
      <x:c r="J79" s="11" t="b">
        <x:v>1</x:v>
      </x:c>
      <x:c r="K79" s="10" t="str">
        <x:v>CFP-2026-003-R17-20260804T234500Z</x:v>
      </x:c>
      <x:c r="L7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79" s="14" t="n">
        <x:v>10.89093935842822</x:v>
      </x:c>
      <x:c r="N79" s="12" t="n">
        <x:v>108315424337.9862</x:v>
      </x:c>
      <x:c r="O79" s="12" t="n">
        <x:v>120111991518.46048</x:v>
      </x:c>
      <x:c r="P79" s="12" t="n">
        <x:v>12055800626.071152</x:v>
      </x:c>
      <x:c r="Q79" s="12" t="n">
        <x:v>17925340955.849358</x:v>
      </x:c>
      <x:c r="R79" s="12" t="n">
        <x:v>5869540329.778206</x:v>
      </x:c>
      <x:c r="S79" s="12" t="n">
        <x:v>10636693843.707409</x:v>
      </x:c>
      <x:c r="T79" s="14" t="n">
        <x:v>-28.726204412880023</x:v>
      </x:c>
      <x:c r="U79" s="14" t="n">
        <x:v>0.02995248490969849</x:v>
      </x:c>
      <x:c r="V79" s="14" t="n">
        <x:v>-3.3313953488372094</x:v>
      </x:c>
      <x:c r="W79" s="12" t="n">
        <x:v>-5264502068.028853</x:v>
      </x:c>
      <x:c r="X79" s="12" t="n">
        <x:v>5489236.116380528</x:v>
      </x:c>
      <x:c r="Y79" s="12" t="n">
        <x:v>-610527497.8657321</x:v>
      </x:c>
      <x:c r="Z79" s="14" t="n">
        <x:v>9.267491680189757</x:v>
      </x:c>
      <x:c r="AA79" s="14" t="n">
        <x:v>-0.008731315603266678</x:v>
      </x:c>
      <x:c r="AB79" s="14" t="n">
        <x:v>1.632178993841726</x:v>
      </x:c>
      <x:c r="AC79" s="12" t="n">
        <x:v>-296407485.5110429</x:v>
      </x:c>
      <x:c r="AD79" s="12" t="n">
        <x:v>-225574814.3411245</x:v>
      </x:c>
      <x:c r="AE79" s="12" t="n">
        <x:v>-4742519768.176686</x:v>
      </x:c>
      <x:c r="AF79" s="12" t="n">
        <x:v>671004.7646965105</x:v>
      </x:c>
      <x:c r="AG79" s="12" t="n">
        <x:v>4818231.351684019</x:v>
      </x:c>
      <x:c r="AH79" s="13" t="n">
        <x:v>680000</x:v>
      </x:c>
      <x:c r="AI79" s="13" t="n">
        <x:v>690000</x:v>
      </x:c>
      <x:c r="AJ79" s="13" t="n">
        <x:v>680000000</x:v>
      </x:c>
      <x:c r="AK79" s="12" t="n">
        <x:v>15140000000</x:v>
      </x:c>
      <x:c r="AL79" s="14" t="n">
        <x:v>0.1250652491518801</x:v>
      </x:c>
      <x:c r="AM79" s="13" t="n">
        <x:v>7</x:v>
      </x:c>
      <x:c r="AN79" s="13" t="n">
        <x:v>7</x:v>
      </x:c>
      <x:c r="AO79" s="14" t="n">
        <x:v>100</x:v>
      </x:c>
      <x:c r="AP79" s="10" t="str">
        <x:v>High</x:v>
      </x:c>
      <x:c r="AQ79" s="10" t="str">
        <x:v>Issuer facility-to-FEMA county match</x:v>
      </x:c>
      <x:c r="AR79" s="14" t="n">
        <x:v>0.1250652491518801</x:v>
      </x:c>
      <x:c r="AS79" s="14" t="n">
        <x:v>7.579869737287252</x:v>
      </x:c>
      <x:c r="AT79" s="14" t="n">
        <x:v>7.251231109814821</x:v>
      </x:c>
      <x:c r="AU79" s="14" t="n">
        <x:v>11.136677389433892</x:v>
      </x:c>
      <x:c r="AV79" s="14" t="n">
        <x:v>2.1999999999999997</x:v>
      </x:c>
      <x:c r="AW79" s="10" t="n">
        <x:v>1</x:v>
      </x:c>
      <x:c r="AX79" s="10" t="n">
        <x:v>0.3</x:v>
      </x:c>
      <x:c r="AY79" s="10" t="n">
        <x:v>0.75</x:v>
      </x:c>
      <x:c r="AZ79" s="10" t="n">
        <x:v>0.016</x:v>
      </x:c>
      <x:c r="BA79" s="10" t="n">
        <x:v>0.01</x:v>
      </x:c>
      <x:c r="BB79" s="10" t="n">
        <x:v>0.3375</x:v>
      </x:c>
      <x:c r="BC79" s="10" t="n">
        <x:v>0.3</x:v>
      </x:c>
      <x:c r="BD79" s="10" t="n">
        <x:v>0.2</x:v>
      </x:c>
      <x:c r="BE79" s="10" t="n">
        <x:v>0.4</x:v>
      </x:c>
      <x:c r="BF79" s="10" t="n">
        <x:v>1</x:v>
      </x:c>
      <x:c r="BG79" s="10" t="n">
        <x:v>1</x:v>
      </x:c>
      <x:c r="BH79" s="10" t="n">
        <x:v>0.7403100775193798</x:v>
      </x:c>
      <x:c r="BI79" s="10" t="str">
        <x:v>Common scenario elasticity + issuer SEC CapEx/CFO dependency scale</x:v>
      </x:c>
      <x:c r="BJ79" s="10" t="str">
        <x:v>Modeled estimate using observed inputs + disclosed assumptions</x:v>
      </x:c>
      <x:c r="BK79" s="11" t="b">
        <x:v>0</x:v>
      </x:c>
      <x:c r="BL79" s="11" t="b">
        <x:v>0</x:v>
      </x:c>
      <x:c r="BM79" s="11" t="b">
        <x:v>0</x:v>
      </x:c>
      <x:c r="BN79" s="10" t="str">
        <x:v>Conditional scenario sensitivity; not a forecast or probability</x:v>
      </x:c>
      <x:c r="BO79" s="14" t="n">
        <x:v>90.17869320844521</x:v>
      </x:c>
    </x:row>
    <x:row r="80" ht="18" customHeight="1">
      <x:c r="A80" s="10" t="str">
        <x:v>CVX</x:v>
      </x:c>
      <x:c r="B80" s="10" t="str">
        <x:v>Energy</x:v>
      </x:c>
      <x:c r="C80" s="10" t="str">
        <x:v>cp_vs_delayed</x:v>
      </x:c>
      <x:c r="D80" s="10" t="str">
        <x:v>Current Policies vs Delayed Transition</x:v>
      </x:c>
      <x:c r="E80" s="10" t="str">
        <x:v>CP vs delayed</x:v>
      </x:c>
      <x:c r="F80" s="10" t="str">
        <x:v>current_policies</x:v>
      </x:c>
      <x:c r="G80" s="10" t="str">
        <x:v>delayed_transition</x:v>
      </x:c>
      <x:c r="H80" s="10" t="n">
        <x:v>2050</x:v>
      </x:c>
      <x:c r="I80" s="10" t="str">
        <x:v>low</x:v>
      </x:c>
      <x:c r="J80" s="11" t="b">
        <x:v>1</x:v>
      </x:c>
      <x:c r="K80" s="10" t="str">
        <x:v>CFP-2026-003-R17-20260804T234500Z</x:v>
      </x:c>
      <x:c r="L8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0" s="14" t="n">
        <x:v>4.729285303407393</x:v>
      </x:c>
      <x:c r="N80" s="12" t="n">
        <x:v>357397825485.27893</x:v>
      </x:c>
      <x:c r="O80" s="12" t="n">
        <x:v>374300188320.6518</x:v>
      </x:c>
      <x:c r="P80" s="12" t="n">
        <x:v>25743379529.47386</x:v>
      </x:c>
      <x:c r="Q80" s="12" t="n">
        <x:v>28060765134.98977</x:v>
      </x:c>
      <x:c r="R80" s="12" t="n">
        <x:v>2317385605.5159073</x:v>
      </x:c>
      <x:c r="S80" s="12" t="n">
        <x:v>18142230456.32</x:v>
      </x:c>
      <x:c r="T80" s="14" t="n">
        <x:v>-6.617228772041149</x:v>
      </x:c>
      <x:c r="U80" s="14" t="n">
        <x:v>0.03238624148409155</x:v>
      </x:c>
      <x:c r="V80" s="14" t="n">
        <x:v>-1.59251856271546</x:v>
      </x:c>
      <x:c r="W80" s="12" t="n">
        <x:v>-1875259087.8430977</x:v>
      </x:c>
      <x:c r="X80" s="12" t="n">
        <x:v>9177949.827083014</x:v>
      </x:c>
      <x:c r="Y80" s="12" t="n">
        <x:v>-451304467.4998919</x:v>
      </x:c>
      <x:c r="Z80" s="14" t="n">
        <x:v>3.7409918864762406</x:v>
      </x:c>
      <x:c r="AA80" s="14" t="n">
        <x:v>-0.021920507135148107</x:v>
      </x:c>
      <x:c r="AB80" s="14" t="n">
        <x:v>1.0102139240662897</x:v>
      </x:c>
      <x:c r="AC80" s="12" t="n">
        <x:v>-1798777723.8796234</x:v>
      </x:c>
      <x:c r="AD80" s="12" t="n">
        <x:v>-33310698.5903634</x:v>
      </x:c>
      <x:c r="AE80" s="12" t="n">
        <x:v>-43170665.37311096</x:v>
      </x:c>
      <x:c r="AF80" s="12" t="n">
        <x:v>8479452.09410318</x:v>
      </x:c>
      <x:c r="AG80" s="12" t="n">
        <x:v>698497.7329798378</x:v>
      </x:c>
      <x:c r="AH80" s="13" t="n">
        <x:v>54000000</x:v>
      </x:c>
      <x:c r="AI80" s="13" t="n">
        <x:v>4000000</x:v>
      </x:c>
      <x:c r="AJ80" s="13" t="n">
        <x:v>432000000</x:v>
      </x:c>
      <x:c r="AK80" s="12" t="n">
        <x:v>219729000000</x:v>
      </x:c>
      <x:c r="AL80" s="14" t="n">
        <x:v>0.31761728843062803</x:v>
      </x:c>
      <x:c r="AM80" s="13" t="n">
        <x:v>34</x:v>
      </x:c>
      <x:c r="AN80" s="13" t="n">
        <x:v>53</x:v>
      </x:c>
      <x:c r="AO80" s="14" t="n">
        <x:v>64.15094339622641</x:v>
      </x:c>
      <x:c r="AP80" s="10" t="str">
        <x:v>Medium</x:v>
      </x:c>
      <x:c r="AQ80" s="10" t="str">
        <x:v>Issuer facility-to-FEMA county match</x:v>
      </x:c>
      <x:c r="AR80" s="14" t="n">
        <x:v>0.31761728843062803</x:v>
      </x:c>
      <x:c r="AS80" s="14" t="n">
        <x:v>7.579869737287252</x:v>
      </x:c>
      <x:c r="AT80" s="14" t="n">
        <x:v>7.251231109814821</x:v>
      </x:c>
      <x:c r="AU80" s="14" t="n">
        <x:v>6.7034090248596065</x:v>
      </x:c>
      <x:c r="AV80" s="14" t="n">
        <x:v>1.7999999999999998</x:v>
      </x:c>
      <x:c r="AW80" s="10" t="n">
        <x:v>0.5</x:v>
      </x:c>
      <x:c r="AX80" s="10" t="n">
        <x:v>0.7</x:v>
      </x:c>
      <x:c r="AY80" s="10" t="n">
        <x:v>0.25</x:v>
      </x:c>
      <x:c r="AZ80" s="10" t="n">
        <x:v>0.0015</x:v>
      </x:c>
      <x:c r="BA80" s="10" t="n">
        <x:v>0.05</x:v>
      </x:c>
      <x:c r="BB80" s="10" t="n">
        <x:v>0.27</x:v>
      </x:c>
      <x:c r="BC80" s="10" t="n">
        <x:v>0.7</x:v>
      </x:c>
      <x:c r="BD80" s="10" t="n">
        <x:v>0.05</x:v>
      </x:c>
      <x:c r="BE80" s="10" t="n">
        <x:v>0.15</x:v>
      </x:c>
      <x:c r="BF80" s="10" t="n">
        <x:v>1</x:v>
      </x:c>
      <x:c r="BG80" s="10" t="n">
        <x:v>0.35</x:v>
      </x:c>
      <x:c r="BH80" s="10" t="n">
        <x:v>1.0111228969621968</x:v>
      </x:c>
      <x:c r="BI80" s="10" t="str">
        <x:v>Common scenario elasticity + issuer SEC CapEx/CFO dependency scale</x:v>
      </x:c>
      <x:c r="BJ80" s="10" t="str">
        <x:v>Modeled estimate using observed inputs + disclosed assumptions</x:v>
      </x:c>
      <x:c r="BK80" s="11" t="b">
        <x:v>0</x:v>
      </x:c>
      <x:c r="BL80" s="11" t="b">
        <x:v>0</x:v>
      </x:c>
      <x:c r="BM80" s="11" t="b">
        <x:v>0</x:v>
      </x:c>
      <x:c r="BN80" s="10" t="str">
        <x:v>Conditional scenario sensitivity; not a forecast or probability</x:v>
      </x:c>
      <x:c r="BO80" s="14" t="n">
        <x:v>95.4842761604776</x:v>
      </x:c>
    </x:row>
    <x:row r="81" ht="18" customHeight="1">
      <x:c r="A81" s="10" t="str">
        <x:v>CVX</x:v>
      </x:c>
      <x:c r="B81" s="10" t="str">
        <x:v>Energy</x:v>
      </x:c>
      <x:c r="C81" s="10" t="str">
        <x:v>cp_vs_delayed</x:v>
      </x:c>
      <x:c r="D81" s="10" t="str">
        <x:v>Current Policies vs Delayed Transition</x:v>
      </x:c>
      <x:c r="E81" s="10" t="str">
        <x:v>CP vs delayed</x:v>
      </x:c>
      <x:c r="F81" s="10" t="str">
        <x:v>current_policies</x:v>
      </x:c>
      <x:c r="G81" s="10" t="str">
        <x:v>delayed_transition</x:v>
      </x:c>
      <x:c r="H81" s="10" t="n">
        <x:v>2050</x:v>
      </x:c>
      <x:c r="I81" s="10" t="str">
        <x:v>base</x:v>
      </x:c>
      <x:c r="J81" s="11" t="b">
        <x:v>1</x:v>
      </x:c>
      <x:c r="K81" s="10" t="str">
        <x:v>CFP-2026-003-R17-20260804T234500Z</x:v>
      </x:c>
      <x:c r="L8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1" s="14" t="n">
        <x:v>19.298376760428205</x:v>
      </x:c>
      <x:c r="N81" s="12" t="n">
        <x:v>311537814944.1993</x:v>
      </x:c>
      <x:c r="O81" s="12" t="n">
        <x:v>371659556223.3364</x:v>
      </x:c>
      <x:c r="P81" s="12" t="n">
        <x:v>18921789899.443764</x:v>
      </x:c>
      <x:c r="Q81" s="12" t="n">
        <x:v>27762645856.760303</x:v>
      </x:c>
      <x:c r="R81" s="12" t="n">
        <x:v>8840855957.31654</x:v>
      </x:c>
      <x:c r="S81" s="12" t="n">
        <x:v>18142230456.32</x:v>
      </x:c>
      <x:c r="T81" s="14" t="n">
        <x:v>-28.558037268874763</x:v>
      </x:c>
      <x:c r="U81" s="14" t="n">
        <x:v>0.09133110951472276</x:v>
      </x:c>
      <x:c r="V81" s="14" t="n">
        <x:v>-2.730031821797932</x:v>
      </x:c>
      <x:c r="W81" s="12" t="n">
        <x:v>-8093073515.259486</x:v>
      </x:c>
      <x:c r="X81" s="12" t="n">
        <x:v>25882359.3713305</x:v>
      </x:c>
      <x:c r="Y81" s="12" t="n">
        <x:v>-773664801.4283862</x:v>
      </x:c>
      <x:c r="Z81" s="14" t="n">
        <x:v>17.382205403622063</x:v>
      </x:c>
      <x:c r="AA81" s="14" t="n">
        <x:v>-0.07055334929230579</x:v>
      </x:c>
      <x:c r="AB81" s="14" t="n">
        <x:v>1.9867247060984325</x:v>
      </x:c>
      <x:c r="AC81" s="12" t="n">
        <x:v>-7570433235.587796</x:v>
      </x:c>
      <x:c r="AD81" s="12" t="n">
        <x:v>-280386416.13288134</x:v>
      </x:c>
      <x:c r="AE81" s="12" t="n">
        <x:v>-242253863.53880945</x:v>
      </x:c>
      <x:c r="AF81" s="12" t="n">
        <x:v>23554033.594731048</x:v>
      </x:c>
      <x:c r="AG81" s="12" t="n">
        <x:v>2328325.7765994594</x:v>
      </x:c>
      <x:c r="AH81" s="13" t="n">
        <x:v>54000000</x:v>
      </x:c>
      <x:c r="AI81" s="13" t="n">
        <x:v>4000000</x:v>
      </x:c>
      <x:c r="AJ81" s="13" t="n">
        <x:v>432000000</x:v>
      </x:c>
      <x:c r="AK81" s="12" t="n">
        <x:v>219729000000</x:v>
      </x:c>
      <x:c r="AL81" s="14" t="n">
        <x:v>0.31761728843062803</x:v>
      </x:c>
      <x:c r="AM81" s="13" t="n">
        <x:v>34</x:v>
      </x:c>
      <x:c r="AN81" s="13" t="n">
        <x:v>53</x:v>
      </x:c>
      <x:c r="AO81" s="14" t="n">
        <x:v>64.15094339622641</x:v>
      </x:c>
      <x:c r="AP81" s="10" t="str">
        <x:v>Medium</x:v>
      </x:c>
      <x:c r="AQ81" s="10" t="str">
        <x:v>Issuer facility-to-FEMA county match</x:v>
      </x:c>
      <x:c r="AR81" s="14" t="n">
        <x:v>0.31761728843062803</x:v>
      </x:c>
      <x:c r="AS81" s="14" t="n">
        <x:v>7.579869737287252</x:v>
      </x:c>
      <x:c r="AT81" s="14" t="n">
        <x:v>7.251231109814821</x:v>
      </x:c>
      <x:c r="AU81" s="14" t="n">
        <x:v>6.7034090248596065</x:v>
      </x:c>
      <x:c r="AV81" s="14" t="n">
        <x:v>1.7999999999999998</x:v>
      </x:c>
      <x:c r="AW81" s="10" t="n">
        <x:v>0.75</x:v>
      </x:c>
      <x:c r="AX81" s="10" t="n">
        <x:v>0.5</x:v>
      </x:c>
      <x:c r="AY81" s="10" t="n">
        <x:v>0.5</x:v>
      </x:c>
      <x:c r="AZ81" s="10" t="n">
        <x:v>0.003</x:v>
      </x:c>
      <x:c r="BA81" s="10" t="n">
        <x:v>0.03</x:v>
      </x:c>
      <x:c r="BB81" s="10" t="n">
        <x:v>0.45</x:v>
      </x:c>
      <x:c r="BC81" s="10" t="n">
        <x:v>0.5</x:v>
      </x:c>
      <x:c r="BD81" s="10" t="n">
        <x:v>0.1</x:v>
      </x:c>
      <x:c r="BE81" s="10" t="n">
        <x:v>0.25</x:v>
      </x:c>
      <x:c r="BF81" s="10" t="n">
        <x:v>1</x:v>
      </x:c>
      <x:c r="BG81" s="10" t="n">
        <x:v>0.6</x:v>
      </x:c>
      <x:c r="BH81" s="10" t="n">
        <x:v>1.0111228969621968</x:v>
      </x:c>
      <x:c r="BI81" s="10" t="str">
        <x:v>Common scenario elasticity + issuer SEC CapEx/CFO dependency scale</x:v>
      </x:c>
      <x:c r="BJ81" s="10" t="str">
        <x:v>Modeled estimate using observed inputs + disclosed assumptions</x:v>
      </x:c>
      <x:c r="BK81" s="11" t="b">
        <x:v>0</x:v>
      </x:c>
      <x:c r="BL81" s="11" t="b">
        <x:v>0</x:v>
      </x:c>
      <x:c r="BM81" s="11" t="b">
        <x:v>0</x:v>
      </x:c>
      <x:c r="BN81" s="10" t="str">
        <x:v>Conditional scenario sensitivity; not a forecast or probability</x:v>
      </x:c>
      <x:c r="BO81" s="14" t="n">
        <x:v>83.82343726337311</x:v>
      </x:c>
    </x:row>
    <x:row r="82" ht="18" customHeight="1">
      <x:c r="A82" s="10" t="str">
        <x:v>CVX</x:v>
      </x:c>
      <x:c r="B82" s="10" t="str">
        <x:v>Energy</x:v>
      </x:c>
      <x:c r="C82" s="10" t="str">
        <x:v>cp_vs_delayed</x:v>
      </x:c>
      <x:c r="D82" s="10" t="str">
        <x:v>Current Policies vs Delayed Transition</x:v>
      </x:c>
      <x:c r="E82" s="10" t="str">
        <x:v>CP vs delayed</x:v>
      </x:c>
      <x:c r="F82" s="10" t="str">
        <x:v>current_policies</x:v>
      </x:c>
      <x:c r="G82" s="10" t="str">
        <x:v>delayed_transition</x:v>
      </x:c>
      <x:c r="H82" s="10" t="n">
        <x:v>2050</x:v>
      </x:c>
      <x:c r="I82" s="10" t="str">
        <x:v>high</x:v>
      </x:c>
      <x:c r="J82" s="11" t="b">
        <x:v>1</x:v>
      </x:c>
      <x:c r="K82" s="10" t="str">
        <x:v>CFP-2026-003-R17-20260804T234500Z</x:v>
      </x:c>
      <x:c r="L8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2" s="14" t="n">
        <x:v>91.04303094213518</x:v>
      </x:c>
      <x:c r="N82" s="12" t="n">
        <x:v>191969829199.67838</x:v>
      </x:c>
      <x:c r="O82" s="12" t="n">
        <x:v>366744980197.5056</x:v>
      </x:c>
      <x:c r="P82" s="12" t="n">
        <x:v>14082118.817279816</x:v>
      </x:c>
      <x:c r="Q82" s="12" t="n">
        <x:v>27227312859.984547</x:v>
      </x:c>
      <x:c r="R82" s="12" t="n">
        <x:v>27213230741.167267</x:v>
      </x:c>
      <x:c r="S82" s="12" t="n">
        <x:v>18142230456.32</x:v>
      </x:c>
      <x:c r="T82" s="14" t="n">
        <x:v>-91.66068243298592</x:v>
      </x:c>
      <x:c r="U82" s="14" t="n">
        <x:v>0.18337871203254819</x:v>
      </x:c>
      <x:c r="V82" s="14" t="n">
        <x:v>-4.550053036329885</x:v>
      </x:c>
      <x:c r="W82" s="12" t="n">
        <x:v>-25975757171.43245</x:v>
      </x:c>
      <x:c r="X82" s="12" t="n">
        <x:v>51967765.97915995</x:v>
      </x:c>
      <x:c r="Y82" s="12" t="n">
        <x:v>-1289441335.7139769</x:v>
      </x:c>
      <x:c r="Z82" s="14" t="n">
        <x:v>85.88063380512374</x:v>
      </x:c>
      <x:c r="AA82" s="14" t="n">
        <x:v>-0.19705365778911066</x:v>
      </x:c>
      <x:c r="AB82" s="14" t="n">
        <x:v>5.359450794800553</x:v>
      </x:c>
      <x:c r="AC82" s="12" t="n">
        <x:v>-23538241496.465168</x:v>
      </x:c>
      <x:c r="AD82" s="12" t="n">
        <x:v>-1307680083.1369536</x:v>
      </x:c>
      <x:c r="AE82" s="12" t="n">
        <x:v>-1129835591.830328</x:v>
      </x:c>
      <x:c r="AF82" s="12" t="n">
        <x:v>44517123.49404168</x:v>
      </x:c>
      <x:c r="AG82" s="12" t="n">
        <x:v>7450642.48511827</x:v>
      </x:c>
      <x:c r="AH82" s="13" t="n">
        <x:v>54000000</x:v>
      </x:c>
      <x:c r="AI82" s="13" t="n">
        <x:v>4000000</x:v>
      </x:c>
      <x:c r="AJ82" s="13" t="n">
        <x:v>432000000</x:v>
      </x:c>
      <x:c r="AK82" s="12" t="n">
        <x:v>219729000000</x:v>
      </x:c>
      <x:c r="AL82" s="14" t="n">
        <x:v>0.31761728843062803</x:v>
      </x:c>
      <x:c r="AM82" s="13" t="n">
        <x:v>34</x:v>
      </x:c>
      <x:c r="AN82" s="13" t="n">
        <x:v>53</x:v>
      </x:c>
      <x:c r="AO82" s="14" t="n">
        <x:v>64.15094339622641</x:v>
      </x:c>
      <x:c r="AP82" s="10" t="str">
        <x:v>Medium</x:v>
      </x:c>
      <x:c r="AQ82" s="10" t="str">
        <x:v>Issuer facility-to-FEMA county match</x:v>
      </x:c>
      <x:c r="AR82" s="14" t="n">
        <x:v>0.31761728843062803</x:v>
      </x:c>
      <x:c r="AS82" s="14" t="n">
        <x:v>7.579869737287252</x:v>
      </x:c>
      <x:c r="AT82" s="14" t="n">
        <x:v>7.251231109814821</x:v>
      </x:c>
      <x:c r="AU82" s="14" t="n">
        <x:v>6.7034090248596065</x:v>
      </x:c>
      <x:c r="AV82" s="14" t="n">
        <x:v>1.7999999999999998</x:v>
      </x:c>
      <x:c r="AW82" s="10" t="n">
        <x:v>1</x:v>
      </x:c>
      <x:c r="AX82" s="10" t="n">
        <x:v>0.3</x:v>
      </x:c>
      <x:c r="AY82" s="10" t="n">
        <x:v>0.75</x:v>
      </x:c>
      <x:c r="AZ82" s="10" t="n">
        <x:v>0.006</x:v>
      </x:c>
      <x:c r="BA82" s="10" t="n">
        <x:v>0.01</x:v>
      </x:c>
      <x:c r="BB82" s="10" t="n">
        <x:v>0.6075</x:v>
      </x:c>
      <x:c r="BC82" s="10" t="n">
        <x:v>0.3</x:v>
      </x:c>
      <x:c r="BD82" s="10" t="n">
        <x:v>0.2</x:v>
      </x:c>
      <x:c r="BE82" s="10" t="n">
        <x:v>0.4</x:v>
      </x:c>
      <x:c r="BF82" s="10" t="n">
        <x:v>1</x:v>
      </x:c>
      <x:c r="BG82" s="10" t="n">
        <x:v>1</x:v>
      </x:c>
      <x:c r="BH82" s="10" t="n">
        <x:v>1.0111228969621968</x:v>
      </x:c>
      <x:c r="BI82" s="10" t="str">
        <x:v>Common scenario elasticity + issuer SEC CapEx/CFO dependency scale</x:v>
      </x:c>
      <x:c r="BJ82" s="10" t="str">
        <x:v>Modeled estimate using observed inputs + disclosed assumptions</x:v>
      </x:c>
      <x:c r="BK82" s="11" t="b">
        <x:v>0</x:v>
      </x:c>
      <x:c r="BL82" s="11" t="b">
        <x:v>0</x:v>
      </x:c>
      <x:c r="BM82" s="11" t="b">
        <x:v>0</x:v>
      </x:c>
      <x:c r="BN82" s="10" t="str">
        <x:v>Conditional scenario sensitivity; not a forecast or probability</x:v>
      </x:c>
      <x:c r="BO82" s="14" t="n">
        <x:v>52.34422815993162</x:v>
      </x:c>
    </x:row>
    <x:row r="83" ht="18" customHeight="1">
      <x:c r="A83" s="10" t="str">
        <x:v>DE</x:v>
      </x:c>
      <x:c r="B83" s="10" t="str">
        <x:v>Industrials</x:v>
      </x:c>
      <x:c r="C83" s="10" t="str">
        <x:v>cp_vs_delayed</x:v>
      </x:c>
      <x:c r="D83" s="10" t="str">
        <x:v>Current Policies vs Delayed Transition</x:v>
      </x:c>
      <x:c r="E83" s="10" t="str">
        <x:v>CP vs delayed</x:v>
      </x:c>
      <x:c r="F83" s="10" t="str">
        <x:v>current_policies</x:v>
      </x:c>
      <x:c r="G83" s="10" t="str">
        <x:v>delayed_transition</x:v>
      </x:c>
      <x:c r="H83" s="10" t="n">
        <x:v>2050</x:v>
      </x:c>
      <x:c r="I83" s="10" t="str">
        <x:v>low</x:v>
      </x:c>
      <x:c r="J83" s="11" t="b">
        <x:v>1</x:v>
      </x:c>
      <x:c r="K83" s="10" t="str">
        <x:v>CFP-2026-003-R17-20260804T234500Z</x:v>
      </x:c>
      <x:c r="L8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3" s="14" t="n">
        <x:v>0.7324987745863432</x:v>
      </x:c>
      <x:c r="N83" s="12" t="n">
        <x:v>154396067845.52258</x:v>
      </x:c>
      <x:c r="O83" s="12" t="n">
        <x:v>155527017150.50055</x:v>
      </x:c>
      <x:c r="P83" s="12" t="n">
        <x:v>14596242164.648968</x:v>
      </x:c>
      <x:c r="Q83" s="12" t="n">
        <x:v>14791068126.262678</x:v>
      </x:c>
      <x:c r="R83" s="12" t="n">
        <x:v>194825961.6137104</x:v>
      </x:c>
      <x:c r="S83" s="12" t="n">
        <x:v>8631149592.456448</x:v>
      </x:c>
      <x:c r="T83" s="14" t="n">
        <x:v>-0.2382855951017935</x:v>
      </x:c>
      <x:c r="U83" s="14" t="n">
        <x:v>0.0028514052521377477</x:v>
      </x:c>
      <x:c r="V83" s="14" t="n">
        <x:v>-1.0746698619117843</x:v>
      </x:c>
      <x:c r="W83" s="12" t="n">
        <x:v>-35435521.4320455</x:v>
      </x:c>
      <x:c r="X83" s="12" t="n">
        <x:v>424033.31968267076</x:v>
      </x:c>
      <x:c r="Y83" s="12" t="n">
        <x:v>-159814473.50134754</x:v>
      </x:c>
      <x:c r="Z83" s="14" t="n">
        <x:v>0.1205923731506971</x:v>
      </x:c>
      <x:c r="AA83" s="14" t="n">
        <x:v>-0.0011840458905123575</x:v>
      </x:c>
      <x:c r="AB83" s="14" t="n">
        <x:v>0.6130904473261678</x:v>
      </x:c>
      <x:c r="AC83" s="12" t="n">
        <x:v>-11788656.231129605</x:v>
      </x:c>
      <x:c r="AD83" s="12" t="n">
        <x:v>-1865399.1210603502</x:v>
      </x:c>
      <x:c r="AE83" s="12" t="n">
        <x:v>-21781466.079855543</x:v>
      </x:c>
      <x:c r="AF83" s="12" t="n">
        <x:v>57493.712382159545</x:v>
      </x:c>
      <x:c r="AG83" s="12" t="n">
        <x:v>366539.60730051156</x:v>
      </x:c>
      <x:c r="AH83" s="13" t="n">
        <x:v>353900</x:v>
      </x:c>
      <x:c r="AI83" s="13" t="n">
        <x:v>224000</x:v>
      </x:c>
      <x:c r="AJ83" s="13" t="n">
        <x:v>81736000</x:v>
      </x:c>
      <x:c r="AK83" s="12" t="n">
        <x:v>8079000000</x:v>
      </x:c>
      <x:c r="AL83" s="14" t="n">
        <x:v>0.1054287290454164</x:v>
      </x:c>
      <x:c r="AM83" s="13" t="n">
        <x:v>1</x:v>
      </x:c>
      <x:c r="AN83" s="13" t="n">
        <x:v>1</x:v>
      </x:c>
      <x:c r="AO83" s="14" t="n">
        <x:v>100</x:v>
      </x:c>
      <x:c r="AP83" s="10" t="str">
        <x:v>High</x:v>
      </x:c>
      <x:c r="AQ83" s="10" t="str">
        <x:v>Issuer facility-to-FEMA county match</x:v>
      </x:c>
      <x:c r="AR83" s="14" t="n">
        <x:v>0.1054287290454164</x:v>
      </x:c>
      <x:c r="AS83" s="14" t="n">
        <x:v>7.579869737287252</x:v>
      </x:c>
      <x:c r="AT83" s="14" t="n">
        <x:v>7.251231109814821</x:v>
      </x:c>
      <x:c r="AU83" s="14" t="n">
        <x:v>7.853230639934694</x:v>
      </x:c>
      <x:c r="AV83" s="14" t="n">
        <x:v>2.1999999999999997</x:v>
      </x:c>
      <x:c r="AW83" s="10" t="n">
        <x:v>0.5</x:v>
      </x:c>
      <x:c r="AX83" s="10" t="n">
        <x:v>0.7</x:v>
      </x:c>
      <x:c r="AY83" s="10" t="n">
        <x:v>0.25</x:v>
      </x:c>
      <x:c r="AZ83" s="10" t="n">
        <x:v>0.004</x:v>
      </x:c>
      <x:c r="BA83" s="10" t="n">
        <x:v>0.05</x:v>
      </x:c>
      <x:c r="BB83" s="10" t="n">
        <x:v>0.15</x:v>
      </x:c>
      <x:c r="BC83" s="10" t="n">
        <x:v>0.7</x:v>
      </x:c>
      <x:c r="BD83" s="10" t="n">
        <x:v>0.05</x:v>
      </x:c>
      <x:c r="BE83" s="10" t="n">
        <x:v>0.15</x:v>
      </x:c>
      <x:c r="BF83" s="10" t="n">
        <x:v>1</x:v>
      </x:c>
      <x:c r="BG83" s="10" t="n">
        <x:v>0.35</x:v>
      </x:c>
      <x:c r="BH83" s="10" t="n">
        <x:v>0.6823300710551012</x:v>
      </x:c>
      <x:c r="BI83" s="10" t="str">
        <x:v>Common scenario elasticity + issuer SEC CapEx/CFO dependency scale</x:v>
      </x:c>
      <x:c r="BJ83" s="10" t="str">
        <x:v>Modeled estimate using observed inputs + disclosed assumptions</x:v>
      </x:c>
      <x:c r="BK83" s="11" t="b">
        <x:v>0</x:v>
      </x:c>
      <x:c r="BL83" s="11" t="b">
        <x:v>0</x:v>
      </x:c>
      <x:c r="BM83" s="11" t="b">
        <x:v>0</x:v>
      </x:c>
      <x:c r="BN83" s="10" t="str">
        <x:v>Conditional scenario sensitivity; not a forecast or probability</x:v>
      </x:c>
      <x:c r="BO83" s="14" t="n">
        <x:v>99.2728277532105</x:v>
      </x:c>
    </x:row>
    <x:row r="84" ht="18" customHeight="1">
      <x:c r="A84" s="10" t="str">
        <x:v>DE</x:v>
      </x:c>
      <x:c r="B84" s="10" t="str">
        <x:v>Industrials</x:v>
      </x:c>
      <x:c r="C84" s="10" t="str">
        <x:v>cp_vs_delayed</x:v>
      </x:c>
      <x:c r="D84" s="10" t="str">
        <x:v>Current Policies vs Delayed Transition</x:v>
      </x:c>
      <x:c r="E84" s="10" t="str">
        <x:v>CP vs delayed</x:v>
      </x:c>
      <x:c r="F84" s="10" t="str">
        <x:v>current_policies</x:v>
      </x:c>
      <x:c r="G84" s="10" t="str">
        <x:v>delayed_transition</x:v>
      </x:c>
      <x:c r="H84" s="10" t="n">
        <x:v>2050</x:v>
      </x:c>
      <x:c r="I84" s="10" t="str">
        <x:v>base</x:v>
      </x:c>
      <x:c r="J84" s="11" t="b">
        <x:v>1</x:v>
      </x:c>
      <x:c r="K84" s="10" t="str">
        <x:v>CFP-2026-003-R17-20260804T234500Z</x:v>
      </x:c>
      <x:c r="L8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4" s="14" t="n">
        <x:v>1.6599644950947345</x:v>
      </x:c>
      <x:c r="N84" s="12" t="n">
        <x:v>152491385037.67926</x:v>
      </x:c>
      <x:c r="O84" s="12" t="n">
        <x:v>155022687887.38293</x:v>
      </x:c>
      <x:c r="P84" s="12" t="n">
        <x:v>14259386163.629292</x:v>
      </x:c>
      <x:c r="Q84" s="12" t="n">
        <x:v>14719515886.594145</x:v>
      </x:c>
      <x:c r="R84" s="12" t="n">
        <x:v>460129722.9648533</x:v>
      </x:c>
      <x:c r="S84" s="12" t="n">
        <x:v>8631149592.456448</x:v>
      </x:c>
      <x:c r="T84" s="14" t="n">
        <x:v>-1.2611336425436401</x:v>
      </x:c>
      <x:c r="U84" s="14" t="n">
        <x:v>0.009289897759295578</x:v>
      </x:c>
      <x:c r="V84" s="14" t="n">
        <x:v>-1.8422911918487734</x:v>
      </x:c>
      <x:c r="W84" s="12" t="n">
        <x:v>-187543557.5530197</x:v>
      </x:c>
      <x:c r="X84" s="12" t="n">
        <x:v>1381503.4476188198</x:v>
      </x:c>
      <x:c r="Y84" s="12" t="n">
        <x:v>-273967668.85945296</x:v>
      </x:c>
      <x:c r="Z84" s="14" t="n">
        <x:v>0.5996795258775206</x:v>
      </x:c>
      <x:c r="AA84" s="14" t="n">
        <x:v>-0.0038548193345773105</x:v>
      </x:c>
      <x:c r="AB84" s="14" t="n">
        <x:v>1.0641397885517874</x:v>
      </x:c>
      <x:c r="AC84" s="12" t="n">
        <x:v>-49614376.334713355</x:v>
      </x:c>
      <x:c r="AD84" s="12" t="n">
        <x:v>-15701639.303441355</x:v>
      </x:c>
      <x:c r="AE84" s="12" t="n">
        <x:v>-122227541.91486499</x:v>
      </x:c>
      <x:c r="AF84" s="12" t="n">
        <x:v>159704.75661710987</x:v>
      </x:c>
      <x:c r="AG84" s="12" t="n">
        <x:v>1221798.6910017096</x:v>
      </x:c>
      <x:c r="AH84" s="13" t="n">
        <x:v>353900</x:v>
      </x:c>
      <x:c r="AI84" s="13" t="n">
        <x:v>224000</x:v>
      </x:c>
      <x:c r="AJ84" s="13" t="n">
        <x:v>81736000</x:v>
      </x:c>
      <x:c r="AK84" s="12" t="n">
        <x:v>8079000000</x:v>
      </x:c>
      <x:c r="AL84" s="14" t="n">
        <x:v>0.1054287290454164</x:v>
      </x:c>
      <x:c r="AM84" s="13" t="n">
        <x:v>1</x:v>
      </x:c>
      <x:c r="AN84" s="13" t="n">
        <x:v>1</x:v>
      </x:c>
      <x:c r="AO84" s="14" t="n">
        <x:v>100</x:v>
      </x:c>
      <x:c r="AP84" s="10" t="str">
        <x:v>High</x:v>
      </x:c>
      <x:c r="AQ84" s="10" t="str">
        <x:v>Issuer facility-to-FEMA county match</x:v>
      </x:c>
      <x:c r="AR84" s="14" t="n">
        <x:v>0.1054287290454164</x:v>
      </x:c>
      <x:c r="AS84" s="14" t="n">
        <x:v>7.579869737287252</x:v>
      </x:c>
      <x:c r="AT84" s="14" t="n">
        <x:v>7.251231109814821</x:v>
      </x:c>
      <x:c r="AU84" s="14" t="n">
        <x:v>7.853230639934694</x:v>
      </x:c>
      <x:c r="AV84" s="14" t="n">
        <x:v>2.1999999999999997</x:v>
      </x:c>
      <x:c r="AW84" s="10" t="n">
        <x:v>0.75</x:v>
      </x:c>
      <x:c r="AX84" s="10" t="n">
        <x:v>0.5</x:v>
      </x:c>
      <x:c r="AY84" s="10" t="n">
        <x:v>0.5</x:v>
      </x:c>
      <x:c r="AZ84" s="10" t="n">
        <x:v>0.008</x:v>
      </x:c>
      <x:c r="BA84" s="10" t="n">
        <x:v>0.03</x:v>
      </x:c>
      <x:c r="BB84" s="10" t="n">
        <x:v>0.25</x:v>
      </x:c>
      <x:c r="BC84" s="10" t="n">
        <x:v>0.5</x:v>
      </x:c>
      <x:c r="BD84" s="10" t="n">
        <x:v>0.1</x:v>
      </x:c>
      <x:c r="BE84" s="10" t="n">
        <x:v>0.25</x:v>
      </x:c>
      <x:c r="BF84" s="10" t="n">
        <x:v>1</x:v>
      </x:c>
      <x:c r="BG84" s="10" t="n">
        <x:v>0.6</x:v>
      </x:c>
      <x:c r="BH84" s="10" t="n">
        <x:v>0.6823300710551012</x:v>
      </x:c>
      <x:c r="BI84" s="10" t="str">
        <x:v>Common scenario elasticity + issuer SEC CapEx/CFO dependency scale</x:v>
      </x:c>
      <x:c r="BJ84" s="10" t="str">
        <x:v>Modeled estimate using observed inputs + disclosed assumptions</x:v>
      </x:c>
      <x:c r="BK84" s="11" t="b">
        <x:v>0</x:v>
      </x:c>
      <x:c r="BL84" s="11" t="b">
        <x:v>0</x:v>
      </x:c>
      <x:c r="BM84" s="11" t="b">
        <x:v>0</x:v>
      </x:c>
      <x:c r="BN84" s="10" t="str">
        <x:v>Conditional scenario sensitivity; not a forecast or probability</x:v>
      </x:c>
      <x:c r="BO84" s="14" t="n">
        <x:v>98.36714039460949</x:v>
      </x:c>
    </x:row>
    <x:row r="85" ht="18" customHeight="1">
      <x:c r="A85" s="10" t="str">
        <x:v>DE</x:v>
      </x:c>
      <x:c r="B85" s="10" t="str">
        <x:v>Industrials</x:v>
      </x:c>
      <x:c r="C85" s="10" t="str">
        <x:v>cp_vs_delayed</x:v>
      </x:c>
      <x:c r="D85" s="10" t="str">
        <x:v>Current Policies vs Delayed Transition</x:v>
      </x:c>
      <x:c r="E85" s="10" t="str">
        <x:v>CP vs delayed</x:v>
      </x:c>
      <x:c r="F85" s="10" t="str">
        <x:v>current_policies</x:v>
      </x:c>
      <x:c r="G85" s="10" t="str">
        <x:v>delayed_transition</x:v>
      </x:c>
      <x:c r="H85" s="10" t="n">
        <x:v>2050</x:v>
      </x:c>
      <x:c r="I85" s="10" t="str">
        <x:v>high</x:v>
      </x:c>
      <x:c r="J85" s="11" t="b">
        <x:v>1</x:v>
      </x:c>
      <x:c r="K85" s="10" t="str">
        <x:v>CFP-2026-003-R17-20260804T234500Z</x:v>
      </x:c>
      <x:c r="L8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5" s="14" t="n">
        <x:v>4.2969437564325474</x:v>
      </x:c>
      <x:c r="N85" s="12" t="n">
        <x:v>147567248287.80823</x:v>
      </x:c>
      <x:c r="O85" s="12" t="n">
        <x:v>153908129949.6505</x:v>
      </x:c>
      <x:c r="P85" s="12" t="n">
        <x:v>13323807421.580072</x:v>
      </x:c>
      <x:c r="Q85" s="12" t="n">
        <x:v>14573752226.475845</x:v>
      </x:c>
      <x:c r="R85" s="12" t="n">
        <x:v>1249944804.895773</x:v>
      </x:c>
      <x:c r="S85" s="12" t="n">
        <x:v>8631149592.456448</x:v>
      </x:c>
      <x:c r="T85" s="14" t="n">
        <x:v>-5.363069279990997</x:v>
      </x:c>
      <x:c r="U85" s="14" t="n">
        <x:v>0.028320821814790866</x:v>
      </x:c>
      <x:c r="V85" s="14" t="n">
        <x:v>-3.0704853197479554</x:v>
      </x:c>
      <x:c r="W85" s="12" t="n">
        <x:v>-797543621.264563</x:v>
      </x:c>
      <x:c r="X85" s="12" t="n">
        <x:v>4211597.801211819</x:v>
      </x:c>
      <x:c r="Y85" s="12" t="n">
        <x:v>-456612781.43242157</x:v>
      </x:c>
      <x:c r="Z85" s="14" t="n">
        <x:v>2.4759863820431045</x:v>
      </x:c>
      <x:c r="AA85" s="14" t="n">
        <x:v>-0.01179065645494371</x:v>
      </x:c>
      <x:c r="AB85" s="14" t="n">
        <x:v>1.8327480308443826</x:v>
      </x:c>
      <x:c r="AC85" s="12" t="n">
        <x:v>-154262660.47405598</x:v>
      </x:c>
      <x:c r="AD85" s="12" t="n">
        <x:v>-73230084.6556694</x:v>
      </x:c>
      <x:c r="AE85" s="12" t="n">
        <x:v>-570050876.1348375</x:v>
      </x:c>
      <x:c r="AF85" s="12" t="n">
        <x:v>301841.99000633764</x:v>
      </x:c>
      <x:c r="AG85" s="12" t="n">
        <x:v>3909755.8112054765</x:v>
      </x:c>
      <x:c r="AH85" s="13" t="n">
        <x:v>353900</x:v>
      </x:c>
      <x:c r="AI85" s="13" t="n">
        <x:v>224000</x:v>
      </x:c>
      <x:c r="AJ85" s="13" t="n">
        <x:v>81736000</x:v>
      </x:c>
      <x:c r="AK85" s="12" t="n">
        <x:v>8079000000</x:v>
      </x:c>
      <x:c r="AL85" s="14" t="n">
        <x:v>0.1054287290454164</x:v>
      </x:c>
      <x:c r="AM85" s="13" t="n">
        <x:v>1</x:v>
      </x:c>
      <x:c r="AN85" s="13" t="n">
        <x:v>1</x:v>
      </x:c>
      <x:c r="AO85" s="14" t="n">
        <x:v>100</x:v>
      </x:c>
      <x:c r="AP85" s="10" t="str">
        <x:v>High</x:v>
      </x:c>
      <x:c r="AQ85" s="10" t="str">
        <x:v>Issuer facility-to-FEMA county match</x:v>
      </x:c>
      <x:c r="AR85" s="14" t="n">
        <x:v>0.1054287290454164</x:v>
      </x:c>
      <x:c r="AS85" s="14" t="n">
        <x:v>7.579869737287252</x:v>
      </x:c>
      <x:c r="AT85" s="14" t="n">
        <x:v>7.251231109814821</x:v>
      </x:c>
      <x:c r="AU85" s="14" t="n">
        <x:v>7.853230639934694</x:v>
      </x:c>
      <x:c r="AV85" s="14" t="n">
        <x:v>2.1999999999999997</x:v>
      </x:c>
      <x:c r="AW85" s="10" t="n">
        <x:v>1</x:v>
      </x:c>
      <x:c r="AX85" s="10" t="n">
        <x:v>0.3</x:v>
      </x:c>
      <x:c r="AY85" s="10" t="n">
        <x:v>0.75</x:v>
      </x:c>
      <x:c r="AZ85" s="10" t="n">
        <x:v>0.016</x:v>
      </x:c>
      <x:c r="BA85" s="10" t="n">
        <x:v>0.01</x:v>
      </x:c>
      <x:c r="BB85" s="10" t="n">
        <x:v>0.3375</x:v>
      </x:c>
      <x:c r="BC85" s="10" t="n">
        <x:v>0.3</x:v>
      </x:c>
      <x:c r="BD85" s="10" t="n">
        <x:v>0.2</x:v>
      </x:c>
      <x:c r="BE85" s="10" t="n">
        <x:v>0.4</x:v>
      </x:c>
      <x:c r="BF85" s="10" t="n">
        <x:v>1</x:v>
      </x:c>
      <x:c r="BG85" s="10" t="n">
        <x:v>1</x:v>
      </x:c>
      <x:c r="BH85" s="10" t="n">
        <x:v>0.6823300710551012</x:v>
      </x:c>
      <x:c r="BI85" s="10" t="str">
        <x:v>Common scenario elasticity + issuer SEC CapEx/CFO dependency scale</x:v>
      </x:c>
      <x:c r="BJ85" s="10" t="str">
        <x:v>Modeled estimate using observed inputs + disclosed assumptions</x:v>
      </x:c>
      <x:c r="BK85" s="11" t="b">
        <x:v>0</x:v>
      </x:c>
      <x:c r="BL85" s="11" t="b">
        <x:v>0</x:v>
      </x:c>
      <x:c r="BM85" s="11" t="b">
        <x:v>0</x:v>
      </x:c>
      <x:c r="BN85" s="10" t="str">
        <x:v>Conditional scenario sensitivity; not a forecast or probability</x:v>
      </x:c>
      <x:c r="BO85" s="14" t="n">
        <x:v>95.88008660496581</x:v>
      </x:c>
    </x:row>
    <x:row r="86" ht="18" customHeight="1">
      <x:c r="A86" s="10" t="str">
        <x:v>DUK</x:v>
      </x:c>
      <x:c r="B86" s="10" t="str">
        <x:v>Utilities</x:v>
      </x:c>
      <x:c r="C86" s="10" t="str">
        <x:v>cp_vs_delayed</x:v>
      </x:c>
      <x:c r="D86" s="10" t="str">
        <x:v>Current Policies vs Delayed Transition</x:v>
      </x:c>
      <x:c r="E86" s="10" t="str">
        <x:v>CP vs delayed</x:v>
      </x:c>
      <x:c r="F86" s="10" t="str">
        <x:v>current_policies</x:v>
      </x:c>
      <x:c r="G86" s="10" t="str">
        <x:v>delayed_transition</x:v>
      </x:c>
      <x:c r="H86" s="10" t="n">
        <x:v>2050</x:v>
      </x:c>
      <x:c r="I86" s="10" t="str">
        <x:v>low</x:v>
      </x:c>
      <x:c r="J86" s="11" t="b">
        <x:v>1</x:v>
      </x:c>
      <x:c r="K86" s="10" t="str">
        <x:v>CFP-2026-003-R17-20260804T234500Z</x:v>
      </x:c>
      <x:c r="L8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6" s="14" t="n">
        <x:v>216.23658964878607</x:v>
      </x:c>
      <x:c r="N86" s="12" t="n">
        <x:v>15549591813.004269</x:v>
      </x:c>
      <x:c r="O86" s="12" t="n">
        <x:v>49173498853.75154</x:v>
      </x:c>
      <x:c r="P86" s="12" t="n">
        <x:v>0</x:v>
      </x:c>
      <x:c r="Q86" s="12" t="n">
        <x:v>2448564471.432889</x:v>
      </x:c>
      <x:c r="R86" s="12" t="n">
        <x:v>2448564471.432889</x:v>
      </x:c>
      <x:c r="S86" s="12" t="n">
        <x:v>1531556722.6890755</x:v>
      </x:c>
      <x:c r="T86" s="14" t="n">
        <x:v>-105.99997836924248</x:v>
      </x:c>
      <x:c r="U86" s="14" t="n">
        <x:v>0.1619127141053902</x:v>
      </x:c>
      <x:c r="V86" s="14" t="n">
        <x:v>-2.578886861313868</x:v>
      </x:c>
      <x:c r="W86" s="12" t="n">
        <x:v>-2663441465.000877</x:v>
      </x:c>
      <x:c r="X86" s="12" t="n">
        <x:v>4068350.230760623</x:v>
      </x:c>
      <x:c r="Y86" s="12" t="n">
        <x:v>-64799203.788916856</x:v>
      </x:c>
      <x:c r="Z86" s="14" t="n">
        <x:v>212.7044195501993</x:v>
      </x:c>
      <x:c r="AA86" s="14" t="n">
        <x:v>-0.26279516212252857</x:v>
      </x:c>
      <x:c r="AB86" s="14" t="n">
        <x:v>3.7949652607092523</x:v>
      </x:c>
      <x:c r="AC86" s="12" t="n">
        <x:v>-2656728076.773023</x:v>
      </x:c>
      <x:c r="AD86" s="12" t="n">
        <x:v>-2115229.3604880758</x:v>
      </x:c>
      <x:c r="AE86" s="12" t="n">
        <x:v>-4598158.867365878</x:v>
      </x:c>
      <x:c r="AF86" s="12" t="n">
        <x:v>4006417.924673587</x:v>
      </x:c>
      <x:c r="AG86" s="12" t="n">
        <x:v>61932.30608703359</x:v>
      </x:c>
      <x:c r="AH86" s="13" t="n">
        <x:v>79756000</x:v>
      </x:c>
      <x:c r="AI86" s="13" t="n">
        <x:v>254000</x:v>
      </x:c>
      <x:c r="AJ86" s="13" t="n">
        <x:v>27607700</x:v>
      </x:c>
      <x:c r="AK86" s="12" t="n">
        <x:v>129959000000</x:v>
      </x:c>
      <x:c r="AL86" s="14" t="n">
        <x:v>0.17565995555046018</x:v>
      </x:c>
      <x:c r="AM86" s="13" t="n">
        <x:v>48</x:v>
      </x:c>
      <x:c r="AN86" s="13" t="n">
        <x:v>49</x:v>
      </x:c>
      <x:c r="AO86" s="14" t="n">
        <x:v>97.95918367346938</x:v>
      </x:c>
      <x:c r="AP86" s="10" t="str">
        <x:v>High</x:v>
      </x:c>
      <x:c r="AQ86" s="10" t="str">
        <x:v>Issuer facility-to-FEMA county match</x:v>
      </x:c>
      <x:c r="AR86" s="14" t="n">
        <x:v>0.17565995555046018</x:v>
      </x:c>
      <x:c r="AS86" s="14" t="n">
        <x:v>7.579869737287252</x:v>
      </x:c>
      <x:c r="AT86" s="14" t="n">
        <x:v>7.251231109814821</x:v>
      </x:c>
      <x:c r="AU86" s="14" t="n">
        <x:v>5.116136979477691</x:v>
      </x:c>
      <x:c r="AV86" s="14" t="n">
        <x:v>2</x:v>
      </x:c>
      <x:c r="AW86" s="10" t="n">
        <x:v>0.5</x:v>
      </x:c>
      <x:c r="AX86" s="10" t="n">
        <x:v>0.7</x:v>
      </x:c>
      <x:c r="AY86" s="10" t="n">
        <x:v>0.25</x:v>
      </x:c>
      <x:c r="AZ86" s="10" t="n">
        <x:v>0.0025</x:v>
      </x:c>
      <x:c r="BA86" s="10" t="n">
        <x:v>0.05</x:v>
      </x:c>
      <x:c r="BB86" s="10" t="n">
        <x:v>0.39</x:v>
      </x:c>
      <x:c r="BC86" s="10" t="n">
        <x:v>0.7</x:v>
      </x:c>
      <x:c r="BD86" s="10" t="n">
        <x:v>0.05</x:v>
      </x:c>
      <x:c r="BE86" s="10" t="n">
        <x:v>0.15</x:v>
      </x:c>
      <x:c r="BF86" s="10" t="n">
        <x:v>1</x:v>
      </x:c>
      <x:c r="BG86" s="10" t="n">
        <x:v>0.35</x:v>
      </x:c>
      <x:c r="BH86" s="10" t="n">
        <x:v>1.6373884833738848</x:v>
      </x:c>
      <x:c r="BI86" s="10" t="str">
        <x:v>Common scenario elasticity + issuer SEC CapEx/CFO dependency scale</x:v>
      </x:c>
      <x:c r="BJ86" s="10" t="str">
        <x:v>Modeled estimate using observed inputs + disclosed assumptions</x:v>
      </x:c>
      <x:c r="BK86" s="11" t="b">
        <x:v>0</x:v>
      </x:c>
      <x:c r="BL86" s="11" t="b">
        <x:v>0</x:v>
      </x:c>
      <x:c r="BM86" s="11" t="b">
        <x:v>1</x:v>
      </x:c>
      <x:c r="BN86" s="10" t="str">
        <x:v>Extreme relative scenario differential; denominator-sensitive</x:v>
      </x:c>
      <x:c r="BO86" s="14" t="n">
        <x:v>31.621894263108675</x:v>
      </x:c>
    </x:row>
    <x:row r="87" ht="18" customHeight="1">
      <x:c r="A87" s="10" t="str">
        <x:v>DUK</x:v>
      </x:c>
      <x:c r="B87" s="10" t="str">
        <x:v>Utilities</x:v>
      </x:c>
      <x:c r="C87" s="10" t="str">
        <x:v>cp_vs_delayed</x:v>
      </x:c>
      <x:c r="D87" s="10" t="str">
        <x:v>Current Policies vs Delayed Transition</x:v>
      </x:c>
      <x:c r="E87" s="10" t="str">
        <x:v>CP vs delayed</x:v>
      </x:c>
      <x:c r="F87" s="10" t="str">
        <x:v>current_policies</x:v>
      </x:c>
      <x:c r="G87" s="10" t="str">
        <x:v>delayed_transition</x:v>
      </x:c>
      <x:c r="H87" s="10" t="n">
        <x:v>2050</x:v>
      </x:c>
      <x:c r="I87" s="10" t="str">
        <x:v>base</x:v>
      </x:c>
      <x:c r="J87" s="11" t="b">
        <x:v>1</x:v>
      </x:c>
      <x:c r="K87" s="10" t="str">
        <x:v>CFP-2026-003-R17-20260804T234500Z</x:v>
      </x:c>
      <x:c r="L8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7" s="14" t="n">
        <x:v>425.6677462801987</x:v>
      </x:c>
      <x:c r="N87" s="12" t="n">
        <x:v>9085236698.170643</x:v>
      </x:c>
      <x:c r="O87" s="12" t="n">
        <x:v>47758158995.495155</x:v>
      </x:c>
      <x:c r="P87" s="12" t="n">
        <x:v>0</x:v>
      </x:c>
      <x:c r="Q87" s="12" t="n">
        <x:v>2354100065.7372284</x:v>
      </x:c>
      <x:c r="R87" s="12" t="n">
        <x:v>2354100065.7372284</x:v>
      </x:c>
      <x:c r="S87" s="12" t="n">
        <x:v>1531556722.6890755</x:v>
      </x:c>
      <x:c r="T87" s="14" t="n">
        <x:v>-446.72826200163325</x:v>
      </x:c>
      <x:c r="U87" s="14" t="n">
        <x:v>0.45112686679610786</x:v>
      </x:c>
      <x:c r="V87" s="14" t="n">
        <x:v>-4.420948905109488</x:v>
      </x:c>
      <x:c r="W87" s="12" t="n">
        <x:v>-11224856786.840387</x:v>
      </x:c>
      <x:c r="X87" s="12" t="n">
        <x:v>11335379.699938968</x:v>
      </x:c>
      <x:c r="Y87" s="12" t="n">
        <x:v>-111084349.3524289</x:v>
      </x:c>
      <x:c r="Z87" s="14" t="n">
        <x:v>417.3384095784605</x:v>
      </x:c>
      <x:c r="AA87" s="14" t="n">
        <x:v>-1.0348714345272805</x:v>
      </x:c>
      <x:c r="AB87" s="14" t="n">
        <x:v>9.36420813626534</x:v>
      </x:c>
      <x:c r="AC87" s="12" t="n">
        <x:v>-11181249502.547043</x:v>
      </x:c>
      <x:c r="AD87" s="12" t="n">
        <x:v>-17804537.424437962</x:v>
      </x:c>
      <x:c r="AE87" s="12" t="n">
        <x:v>-25802746.868905827</x:v>
      </x:c>
      <x:c r="AF87" s="12" t="n">
        <x:v>11128938.679648854</x:v>
      </x:c>
      <x:c r="AG87" s="12" t="n">
        <x:v>206441.02029011212</x:v>
      </x:c>
      <x:c r="AH87" s="13" t="n">
        <x:v>79756000</x:v>
      </x:c>
      <x:c r="AI87" s="13" t="n">
        <x:v>254000</x:v>
      </x:c>
      <x:c r="AJ87" s="13" t="n">
        <x:v>27607700</x:v>
      </x:c>
      <x:c r="AK87" s="12" t="n">
        <x:v>129959000000</x:v>
      </x:c>
      <x:c r="AL87" s="14" t="n">
        <x:v>0.17565995555046018</x:v>
      </x:c>
      <x:c r="AM87" s="13" t="n">
        <x:v>48</x:v>
      </x:c>
      <x:c r="AN87" s="13" t="n">
        <x:v>49</x:v>
      </x:c>
      <x:c r="AO87" s="14" t="n">
        <x:v>97.95918367346938</x:v>
      </x:c>
      <x:c r="AP87" s="10" t="str">
        <x:v>High</x:v>
      </x:c>
      <x:c r="AQ87" s="10" t="str">
        <x:v>Issuer facility-to-FEMA county match</x:v>
      </x:c>
      <x:c r="AR87" s="14" t="n">
        <x:v>0.17565995555046018</x:v>
      </x:c>
      <x:c r="AS87" s="14" t="n">
        <x:v>7.579869737287252</x:v>
      </x:c>
      <x:c r="AT87" s="14" t="n">
        <x:v>7.251231109814821</x:v>
      </x:c>
      <x:c r="AU87" s="14" t="n">
        <x:v>5.116136979477691</x:v>
      </x:c>
      <x:c r="AV87" s="14" t="n">
        <x:v>2</x:v>
      </x:c>
      <x:c r="AW87" s="10" t="n">
        <x:v>0.75</x:v>
      </x:c>
      <x:c r="AX87" s="10" t="n">
        <x:v>0.5</x:v>
      </x:c>
      <x:c r="AY87" s="10" t="n">
        <x:v>0.5</x:v>
      </x:c>
      <x:c r="AZ87" s="10" t="n">
        <x:v>0.005</x:v>
      </x:c>
      <x:c r="BA87" s="10" t="n">
        <x:v>0.03</x:v>
      </x:c>
      <x:c r="BB87" s="10" t="n">
        <x:v>0.65</x:v>
      </x:c>
      <x:c r="BC87" s="10" t="n">
        <x:v>0.5</x:v>
      </x:c>
      <x:c r="BD87" s="10" t="n">
        <x:v>0.1</x:v>
      </x:c>
      <x:c r="BE87" s="10" t="n">
        <x:v>0.25</x:v>
      </x:c>
      <x:c r="BF87" s="10" t="n">
        <x:v>1</x:v>
      </x:c>
      <x:c r="BG87" s="10" t="n">
        <x:v>0.6</x:v>
      </x:c>
      <x:c r="BH87" s="10" t="n">
        <x:v>1.6373884833738848</x:v>
      </x:c>
      <x:c r="BI87" s="10" t="str">
        <x:v>Common scenario elasticity + issuer SEC CapEx/CFO dependency scale</x:v>
      </x:c>
      <x:c r="BJ87" s="10" t="str">
        <x:v>Modeled estimate using observed inputs + disclosed assumptions</x:v>
      </x:c>
      <x:c r="BK87" s="11" t="b">
        <x:v>0</x:v>
      </x:c>
      <x:c r="BL87" s="11" t="b">
        <x:v>0</x:v>
      </x:c>
      <x:c r="BM87" s="11" t="b">
        <x:v>1</x:v>
      </x:c>
      <x:c r="BN87" s="10" t="str">
        <x:v>Extreme relative scenario differential; denominator-sensitive</x:v>
      </x:c>
      <x:c r="BO87" s="14" t="n">
        <x:v>19.023423199850768</x:v>
      </x:c>
    </x:row>
    <x:row r="88" ht="18" customHeight="1">
      <x:c r="A88" s="10" t="str">
        <x:v>DUK</x:v>
      </x:c>
      <x:c r="B88" s="10" t="str">
        <x:v>Utilities</x:v>
      </x:c>
      <x:c r="C88" s="10" t="str">
        <x:v>cp_vs_delayed</x:v>
      </x:c>
      <x:c r="D88" s="10" t="str">
        <x:v>Current Policies vs Delayed Transition</x:v>
      </x:c>
      <x:c r="E88" s="10" t="str">
        <x:v>CP vs delayed</x:v>
      </x:c>
      <x:c r="F88" s="10" t="str">
        <x:v>current_policies</x:v>
      </x:c>
      <x:c r="G88" s="10" t="str">
        <x:v>delayed_transition</x:v>
      </x:c>
      <x:c r="H88" s="10" t="n">
        <x:v>2050</x:v>
      </x:c>
      <x:c r="I88" s="10" t="str">
        <x:v>high</x:v>
      </x:c>
      <x:c r="J88" s="11" t="b">
        <x:v>1</x:v>
      </x:c>
      <x:c r="K88" s="10" t="str">
        <x:v>CFP-2026-003-R17-20260804T234500Z</x:v>
      </x:c>
      <x:c r="L8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8" s="14" t="n">
        <x:v>510.8039128144882</x:v>
      </x:c>
      <x:c r="N88" s="12" t="n">
        <x:v>7401687131.5692215</x:v>
      </x:c>
      <x:c r="O88" s="12" t="n">
        <x:v>45209794613.91126</x:v>
      </x:c>
      <x:c r="P88" s="12" t="n">
        <x:v>0</x:v>
      </x:c>
      <x:c r="Q88" s="12" t="n">
        <x:v>2180679862.3662853</x:v>
      </x:c>
      <x:c r="R88" s="12" t="n">
        <x:v>2180679862.3662853</x:v>
      </x:c>
      <x:c r="S88" s="12" t="n">
        <x:v>1531556722.6890755</x:v>
      </x:c>
      <x:c r="T88" s="14" t="n">
        <x:v>-1391.6803116049996</x:v>
      </x:c>
      <x:c r="U88" s="14" t="n">
        <x:v>0.8633926932943653</x:v>
      </x:c>
      <x:c r="V88" s="14" t="n">
        <x:v>-7.36824817518248</x:v>
      </x:c>
      <x:c r="W88" s="12" t="n">
        <x:v>-34968488720.27356</x:v>
      </x:c>
      <x:c r="X88" s="12" t="n">
        <x:v>21694305.36946468</x:v>
      </x:c>
      <x:c r="Y88" s="12" t="n">
        <x:v>-185140582.25404817</x:v>
      </x:c>
      <x:c r="Z88" s="14" t="n">
        <x:v>494.7331184007827</x:v>
      </x:c>
      <x:c r="AA88" s="14" t="n">
        <x:v>-2.321902302872547</x:v>
      </x:c>
      <x:c r="AB88" s="14" t="n">
        <x:v>18.392696716578023</x:v>
      </x:c>
      <x:c r="AC88" s="12" t="n">
        <x:v>-34765110903.55696</x:v>
      </x:c>
      <x:c r="AD88" s="12" t="n">
        <x:v>-83037685.27919656</x:v>
      </x:c>
      <x:c r="AE88" s="12" t="n">
        <x:v>-120340131.43740024</x:v>
      </x:c>
      <x:c r="AF88" s="12" t="n">
        <x:v>21033694.104536325</x:v>
      </x:c>
      <x:c r="AG88" s="12" t="n">
        <x:v>660611.2649283595</x:v>
      </x:c>
      <x:c r="AH88" s="13" t="n">
        <x:v>79756000</x:v>
      </x:c>
      <x:c r="AI88" s="13" t="n">
        <x:v>254000</x:v>
      </x:c>
      <x:c r="AJ88" s="13" t="n">
        <x:v>27607700</x:v>
      </x:c>
      <x:c r="AK88" s="12" t="n">
        <x:v>129959000000</x:v>
      </x:c>
      <x:c r="AL88" s="14" t="n">
        <x:v>0.17565995555046018</x:v>
      </x:c>
      <x:c r="AM88" s="13" t="n">
        <x:v>48</x:v>
      </x:c>
      <x:c r="AN88" s="13" t="n">
        <x:v>49</x:v>
      </x:c>
      <x:c r="AO88" s="14" t="n">
        <x:v>97.95918367346938</x:v>
      </x:c>
      <x:c r="AP88" s="10" t="str">
        <x:v>High</x:v>
      </x:c>
      <x:c r="AQ88" s="10" t="str">
        <x:v>Issuer facility-to-FEMA county match</x:v>
      </x:c>
      <x:c r="AR88" s="14" t="n">
        <x:v>0.17565995555046018</x:v>
      </x:c>
      <x:c r="AS88" s="14" t="n">
        <x:v>7.579869737287252</x:v>
      </x:c>
      <x:c r="AT88" s="14" t="n">
        <x:v>7.251231109814821</x:v>
      </x:c>
      <x:c r="AU88" s="14" t="n">
        <x:v>5.116136979477691</x:v>
      </x:c>
      <x:c r="AV88" s="14" t="n">
        <x:v>2</x:v>
      </x:c>
      <x:c r="AW88" s="10" t="n">
        <x:v>1</x:v>
      </x:c>
      <x:c r="AX88" s="10" t="n">
        <x:v>0.3</x:v>
      </x:c>
      <x:c r="AY88" s="10" t="n">
        <x:v>0.75</x:v>
      </x:c>
      <x:c r="AZ88" s="10" t="n">
        <x:v>0.01</x:v>
      </x:c>
      <x:c r="BA88" s="10" t="n">
        <x:v>0.01</x:v>
      </x:c>
      <x:c r="BB88" s="10" t="n">
        <x:v>0.8775000000000001</x:v>
      </x:c>
      <x:c r="BC88" s="10" t="n">
        <x:v>0.3</x:v>
      </x:c>
      <x:c r="BD88" s="10" t="n">
        <x:v>0.2</x:v>
      </x:c>
      <x:c r="BE88" s="10" t="n">
        <x:v>0.4</x:v>
      </x:c>
      <x:c r="BF88" s="10" t="n">
        <x:v>1</x:v>
      </x:c>
      <x:c r="BG88" s="10" t="n">
        <x:v>1</x:v>
      </x:c>
      <x:c r="BH88" s="10" t="n">
        <x:v>1.6373884833738848</x:v>
      </x:c>
      <x:c r="BI88" s="10" t="str">
        <x:v>Common scenario elasticity + issuer SEC CapEx/CFO dependency scale</x:v>
      </x:c>
      <x:c r="BJ88" s="10" t="str">
        <x:v>Modeled estimate using observed inputs + disclosed assumptions</x:v>
      </x:c>
      <x:c r="BK88" s="11" t="b">
        <x:v>0</x:v>
      </x:c>
      <x:c r="BL88" s="11" t="b">
        <x:v>0</x:v>
      </x:c>
      <x:c r="BM88" s="11" t="b">
        <x:v>1</x:v>
      </x:c>
      <x:c r="BN88" s="10" t="str">
        <x:v>Extreme relative scenario differential; denominator-sensitive</x:v>
      </x:c>
      <x:c r="BO88" s="14" t="n">
        <x:v>16.371866306359394</x:v>
      </x:c>
    </x:row>
    <x:row r="89" ht="18" customHeight="1">
      <x:c r="A89" s="10" t="str">
        <x:v>MSFT</x:v>
      </x:c>
      <x:c r="B89" s="10" t="str">
        <x:v>Technology</x:v>
      </x:c>
      <x:c r="C89" s="10" t="str">
        <x:v>cp_vs_delayed</x:v>
      </x:c>
      <x:c r="D89" s="10" t="str">
        <x:v>Current Policies vs Delayed Transition</x:v>
      </x:c>
      <x:c r="E89" s="10" t="str">
        <x:v>CP vs delayed</x:v>
      </x:c>
      <x:c r="F89" s="10" t="str">
        <x:v>current_policies</x:v>
      </x:c>
      <x:c r="G89" s="10" t="str">
        <x:v>delayed_transition</x:v>
      </x:c>
      <x:c r="H89" s="10" t="n">
        <x:v>2050</x:v>
      </x:c>
      <x:c r="I89" s="10" t="str">
        <x:v>low</x:v>
      </x:c>
      <x:c r="J89" s="11" t="b">
        <x:v>1</x:v>
      </x:c>
      <x:c r="K89" s="10" t="str">
        <x:v>CFP-2026-003-R17-20260804T234500Z</x:v>
      </x:c>
      <x:c r="L8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89" s="14" t="n">
        <x:v>0.7813702943422651</x:v>
      </x:c>
      <x:c r="N89" s="12" t="n">
        <x:v>1044326701656.0387</x:v>
      </x:c>
      <x:c r="O89" s="12" t="n">
        <x:v>1052486760278.6635</x:v>
      </x:c>
      <x:c r="P89" s="12" t="n">
        <x:v>133105230039.42159</x:v>
      </x:c>
      <x:c r="Q89" s="12" t="n">
        <x:v>135207501071.45192</x:v>
      </x:c>
      <x:c r="R89" s="12" t="n">
        <x:v>2102271032.0303345</x:v>
      </x:c>
      <x:c r="S89" s="12" t="n">
        <x:v>73477040696.4498</x:v>
      </x:c>
      <x:c r="T89" s="14" t="n">
        <x:v>-0.0124975953773822</x:v>
      </x:c>
      <x:c r="U89" s="14" t="n">
        <x:v>0.0034010465747926393</x:v>
      </x:c>
      <x:c r="V89" s="14" t="n">
        <x:v>-1.5341681232649345</x:v>
      </x:c>
      <x:c r="W89" s="12" t="n">
        <x:v>-17024515.1123094</x:v>
      </x:c>
      <x:c r="X89" s="12" t="n">
        <x:v>4632984.751211688</x:v>
      </x:c>
      <x:c r="Y89" s="12" t="n">
        <x:v>-2089879501.6692333</x:v>
      </x:c>
      <x:c r="Z89" s="14" t="n">
        <x:v>0.0054884390917555185</x:v>
      </x:c>
      <x:c r="AA89" s="14" t="n">
        <x:v>-0.0013068906828412133</x:v>
      </x:c>
      <x:c r="AB89" s="14" t="n">
        <x:v>0.7771887459333601</x:v>
      </x:c>
      <x:c r="AC89" s="12" t="n">
        <x:v>-4780418.354703051</x:v>
      </x:c>
      <x:c r="AD89" s="12" t="n">
        <x:v>-2157617.224444313</x:v>
      </x:c>
      <x:c r="AE89" s="12" t="n">
        <x:v>-10086479.533162037</x:v>
      </x:c>
      <x:c r="AF89" s="12" t="n">
        <x:v>1275390.8835834395</x:v>
      </x:c>
      <x:c r="AG89" s="12" t="n">
        <x:v>3357593.8676282465</x:v>
      </x:c>
      <x:c r="AH89" s="13" t="n">
        <x:v>143510</x:v>
      </x:c>
      <x:c r="AI89" s="13" t="n">
        <x:v>259090</x:v>
      </x:c>
      <x:c r="AJ89" s="13" t="n">
        <x:v>15140000</x:v>
      </x:c>
      <x:c r="AK89" s="12" t="n">
        <x:v>261126000000</x:v>
      </x:c>
      <x:c r="AL89" s="14" t="n">
        <x:v>0.18089619337783003</x:v>
      </x:c>
      <x:c r="AM89" s="13" t="n">
        <x:v>0</x:v>
      </x:c>
      <x:c r="AN89" s="13" t="n">
        <x:v>0</x:v>
      </x:c>
      <x:c r="AO89" s="14"/>
      <x:c r="AP89" s="10" t="str">
        <x:v>Unverified</x:v>
      </x:c>
      <x:c r="AQ89" s="10" t="str">
        <x:v>Proxy fallback; no issuer facilities in governed match file</x:v>
      </x:c>
      <x:c r="AR89" s="14"/>
      <x:c r="AS89" s="14" t="n">
        <x:v>7.579869737287252</x:v>
      </x:c>
      <x:c r="AT89" s="14" t="n">
        <x:v>7.251231109814821</x:v>
      </x:c>
      <x:c r="AU89" s="14" t="n">
        <x:v>9.627276973766637</x:v>
      </x:c>
      <x:c r="AV89" s="14" t="n">
        <x:v>2.5</x:v>
      </x:c>
      <x:c r="AW89" s="10" t="n">
        <x:v>0.5</x:v>
      </x:c>
      <x:c r="AX89" s="10" t="n">
        <x:v>0.7</x:v>
      </x:c>
      <x:c r="AY89" s="10" t="n">
        <x:v>0.25</x:v>
      </x:c>
      <x:c r="AZ89" s="10" t="n">
        <x:v>0.01</x:v>
      </x:c>
      <x:c r="BA89" s="10" t="n">
        <x:v>0.05</x:v>
      </x:c>
      <x:c r="BB89" s="10" t="n">
        <x:v>0.06</x:v>
      </x:c>
      <x:c r="BC89" s="10" t="n">
        <x:v>0.7</x:v>
      </x:c>
      <x:c r="BD89" s="10" t="n">
        <x:v>0.05</x:v>
      </x:c>
      <x:c r="BE89" s="10" t="n">
        <x:v>0.15</x:v>
      </x:c>
      <x:c r="BF89" s="10" t="n">
        <x:v>1</x:v>
      </x:c>
      <x:c r="BG89" s="10" t="n">
        <x:v>0.35</x:v>
      </x:c>
      <x:c r="BH89" s="10" t="n">
        <x:v>0.974074998898371</x:v>
      </x:c>
      <x:c r="BI89" s="10" t="str">
        <x:v>Common scenario elasticity + issuer SEC CapEx/CFO dependency scale</x:v>
      </x:c>
      <x:c r="BJ89" s="10" t="str">
        <x:v>Modeled estimate using observed inputs + disclosed assumptions</x:v>
      </x:c>
      <x:c r="BK89" s="11" t="b">
        <x:v>0</x:v>
      </x:c>
      <x:c r="BL89" s="11" t="b">
        <x:v>0</x:v>
      </x:c>
      <x:c r="BM89" s="11" t="b">
        <x:v>0</x:v>
      </x:c>
      <x:c r="BN89" s="10" t="str">
        <x:v>Conditional scenario sensitivity; not a forecast or probability</x:v>
      </x:c>
      <x:c r="BO89" s="14" t="n">
        <x:v>99.22468776514926</x:v>
      </x:c>
    </x:row>
    <x:row r="90" ht="18" customHeight="1">
      <x:c r="A90" s="10" t="str">
        <x:v>MSFT</x:v>
      </x:c>
      <x:c r="B90" s="10" t="str">
        <x:v>Technology</x:v>
      </x:c>
      <x:c r="C90" s="10" t="str">
        <x:v>cp_vs_delayed</x:v>
      </x:c>
      <x:c r="D90" s="10" t="str">
        <x:v>Current Policies vs Delayed Transition</x:v>
      </x:c>
      <x:c r="E90" s="10" t="str">
        <x:v>CP vs delayed</x:v>
      </x:c>
      <x:c r="F90" s="10" t="str">
        <x:v>current_policies</x:v>
      </x:c>
      <x:c r="G90" s="10" t="str">
        <x:v>delayed_transition</x:v>
      </x:c>
      <x:c r="H90" s="10" t="n">
        <x:v>2050</x:v>
      </x:c>
      <x:c r="I90" s="10" t="str">
        <x:v>base</x:v>
      </x:c>
      <x:c r="J90" s="11" t="b">
        <x:v>1</x:v>
      </x:c>
      <x:c r="K90" s="10" t="str">
        <x:v>CFP-2026-003-R17-20260804T234500Z</x:v>
      </x:c>
      <x:c r="L9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0" s="14" t="n">
        <x:v>1.3691887123201463</x:v>
      </x:c>
      <x:c r="N90" s="12" t="n">
        <x:v>1034354614940.1128</x:v>
      </x:c>
      <x:c r="O90" s="12" t="n">
        <x:v>1048516881573.2354</x:v>
      </x:c>
      <x:c r="P90" s="12" t="n">
        <x:v>130685228880.12909</x:v>
      </x:c>
      <x:c r="Q90" s="12" t="n">
        <x:v>134348025850.03798</x:v>
      </x:c>
      <x:c r="R90" s="12" t="n">
        <x:v>3662796969.90889</x:v>
      </x:c>
      <x:c r="S90" s="12" t="n">
        <x:v>73477040696.4498</x:v>
      </x:c>
      <x:c r="T90" s="14" t="n">
        <x:v>-0.06965167197251736</x:v>
      </x:c>
      <x:c r="U90" s="14" t="n">
        <x:v>0.010816679211114686</x:v>
      </x:c>
      <x:c r="V90" s="14" t="n">
        <x:v>-2.630002497025602</x:v>
      </x:c>
      <x:c r="W90" s="12" t="n">
        <x:v>-94881127.63193959</x:v>
      </x:c>
      <x:c r="X90" s="12" t="n">
        <x:v>14734732.013159275</x:v>
      </x:c>
      <x:c r="Y90" s="12" t="n">
        <x:v>-3582650574.2901144</x:v>
      </x:c>
      <x:c r="Z90" s="14" t="n">
        <x:v>0.02809965636888925</x:v>
      </x:c>
      <x:c r="AA90" s="14" t="n">
        <x:v>-0.004079277530545483</x:v>
      </x:c>
      <x:c r="AB90" s="14" t="n">
        <x:v>1.3451683334818043</x:v>
      </x:c>
      <x:c r="AC90" s="12" t="n">
        <x:v>-20119127.289614897</x:v>
      </x:c>
      <x:c r="AD90" s="12" t="n">
        <x:v>-18161329.138967056</x:v>
      </x:c>
      <x:c r="AE90" s="12" t="n">
        <x:v>-56600671.203357644</x:v>
      </x:c>
      <x:c r="AF90" s="12" t="n">
        <x:v>3542752.454398446</x:v>
      </x:c>
      <x:c r="AG90" s="12" t="n">
        <x:v>11191979.558760852</x:v>
      </x:c>
      <x:c r="AH90" s="13" t="n">
        <x:v>143510</x:v>
      </x:c>
      <x:c r="AI90" s="13" t="n">
        <x:v>259090</x:v>
      </x:c>
      <x:c r="AJ90" s="13" t="n">
        <x:v>15140000</x:v>
      </x:c>
      <x:c r="AK90" s="12" t="n">
        <x:v>261126000000</x:v>
      </x:c>
      <x:c r="AL90" s="14" t="n">
        <x:v>0.18089619337783003</x:v>
      </x:c>
      <x:c r="AM90" s="13" t="n">
        <x:v>0</x:v>
      </x:c>
      <x:c r="AN90" s="13" t="n">
        <x:v>0</x:v>
      </x:c>
      <x:c r="AO90" s="14"/>
      <x:c r="AP90" s="10" t="str">
        <x:v>Unverified</x:v>
      </x:c>
      <x:c r="AQ90" s="10" t="str">
        <x:v>Proxy fallback; no issuer facilities in governed match file</x:v>
      </x:c>
      <x:c r="AR90" s="14"/>
      <x:c r="AS90" s="14" t="n">
        <x:v>7.579869737287252</x:v>
      </x:c>
      <x:c r="AT90" s="14" t="n">
        <x:v>7.251231109814821</x:v>
      </x:c>
      <x:c r="AU90" s="14" t="n">
        <x:v>9.627276973766637</x:v>
      </x:c>
      <x:c r="AV90" s="14" t="n">
        <x:v>2.5</x:v>
      </x:c>
      <x:c r="AW90" s="10" t="n">
        <x:v>0.75</x:v>
      </x:c>
      <x:c r="AX90" s="10" t="n">
        <x:v>0.5</x:v>
      </x:c>
      <x:c r="AY90" s="10" t="n">
        <x:v>0.5</x:v>
      </x:c>
      <x:c r="AZ90" s="10" t="n">
        <x:v>0.02</x:v>
      </x:c>
      <x:c r="BA90" s="10" t="n">
        <x:v>0.03</x:v>
      </x:c>
      <x:c r="BB90" s="10" t="n">
        <x:v>0.1</x:v>
      </x:c>
      <x:c r="BC90" s="10" t="n">
        <x:v>0.5</x:v>
      </x:c>
      <x:c r="BD90" s="10" t="n">
        <x:v>0.1</x:v>
      </x:c>
      <x:c r="BE90" s="10" t="n">
        <x:v>0.25</x:v>
      </x:c>
      <x:c r="BF90" s="10" t="n">
        <x:v>1</x:v>
      </x:c>
      <x:c r="BG90" s="10" t="n">
        <x:v>0.6</x:v>
      </x:c>
      <x:c r="BH90" s="10" t="n">
        <x:v>0.974074998898371</x:v>
      </x:c>
      <x:c r="BI90" s="10" t="str">
        <x:v>Common scenario elasticity + issuer SEC CapEx/CFO dependency scale</x:v>
      </x:c>
      <x:c r="BJ90" s="10" t="str">
        <x:v>Modeled estimate using observed inputs + disclosed assumptions</x:v>
      </x:c>
      <x:c r="BK90" s="11" t="b">
        <x:v>0</x:v>
      </x:c>
      <x:c r="BL90" s="11" t="b">
        <x:v>0</x:v>
      </x:c>
      <x:c r="BM90" s="11" t="b">
        <x:v>0</x:v>
      </x:c>
      <x:c r="BN90" s="10" t="str">
        <x:v>Conditional scenario sensitivity; not a forecast or probability</x:v>
      </x:c>
      <x:c r="BO90" s="14" t="n">
        <x:v>98.64930485316813</x:v>
      </x:c>
    </x:row>
    <x:row r="91" ht="18" customHeight="1">
      <x:c r="A91" s="10" t="str">
        <x:v>MSFT</x:v>
      </x:c>
      <x:c r="B91" s="10" t="str">
        <x:v>Technology</x:v>
      </x:c>
      <x:c r="C91" s="10" t="str">
        <x:v>cp_vs_delayed</x:v>
      </x:c>
      <x:c r="D91" s="10" t="str">
        <x:v>Current Policies vs Delayed Transition</x:v>
      </x:c>
      <x:c r="E91" s="10" t="str">
        <x:v>CP vs delayed</x:v>
      </x:c>
      <x:c r="F91" s="10" t="str">
        <x:v>current_policies</x:v>
      </x:c>
      <x:c r="G91" s="10" t="str">
        <x:v>delayed_transition</x:v>
      </x:c>
      <x:c r="H91" s="10" t="n">
        <x:v>2050</x:v>
      </x:c>
      <x:c r="I91" s="10" t="str">
        <x:v>high</x:v>
      </x:c>
      <x:c r="J91" s="11" t="b">
        <x:v>1</x:v>
      </x:c>
      <x:c r="K91" s="10" t="str">
        <x:v>CFP-2026-003-R17-20260804T234500Z</x:v>
      </x:c>
      <x:c r="L9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1" s="14" t="n">
        <x:v>2.386010956815121</x:v>
      </x:c>
      <x:c r="N91" s="12" t="n">
        <x:v>1015899006217.7114</x:v>
      </x:c>
      <x:c r="O91" s="12" t="n">
        <x:v>1040138467816.242</x:v>
      </x:c>
      <x:c r="P91" s="12" t="n">
        <x:v>126356917659.51189</x:v>
      </x:c>
      <x:c r="Q91" s="12" t="n">
        <x:v>132696725597.14645</x:v>
      </x:c>
      <x:c r="R91" s="12" t="n">
        <x:v>6339807937.634567</x:v>
      </x:c>
      <x:c r="S91" s="12" t="n">
        <x:v>73477040696.4498</x:v>
      </x:c>
      <x:c r="T91" s="14" t="n">
        <x:v>-0.3018842770270603</x:v>
      </x:c>
      <x:c r="U91" s="14" t="n">
        <x:v>0.031206438758728985</x:v>
      </x:c>
      <x:c r="V91" s="14" t="n">
        <x:v>-4.38333749504267</x:v>
      </x:c>
      <x:c r="W91" s="12" t="n">
        <x:v>-411233783.87789613</x:v>
      </x:c>
      <x:c r="X91" s="12" t="n">
        <x:v>42510136.72684789</x:v>
      </x:c>
      <x:c r="Y91" s="12" t="n">
        <x:v>-5971084290.483524</x:v>
      </x:c>
      <x:c r="Z91" s="14" t="n">
        <x:v>0.11449805086771714</x:v>
      </x:c>
      <x:c r="AA91" s="14" t="n">
        <x:v>-0.01116326739330685</x:v>
      </x:c>
      <x:c r="AB91" s="14" t="n">
        <x:v>2.28267617334071</x:v>
      </x:c>
      <x:c r="AC91" s="12" t="n">
        <x:v>-62555056.2436614</x:v>
      </x:c>
      <x:c r="AD91" s="12" t="n">
        <x:v>-84701708.18498833</x:v>
      </x:c>
      <x:c r="AE91" s="12" t="n">
        <x:v>-263977019.4492464</x:v>
      </x:c>
      <x:c r="AF91" s="12" t="n">
        <x:v>6695802.138813056</x:v>
      </x:c>
      <x:c r="AG91" s="12" t="n">
        <x:v>35814334.58803475</x:v>
      </x:c>
      <x:c r="AH91" s="13" t="n">
        <x:v>143510</x:v>
      </x:c>
      <x:c r="AI91" s="13" t="n">
        <x:v>259090</x:v>
      </x:c>
      <x:c r="AJ91" s="13" t="n">
        <x:v>15140000</x:v>
      </x:c>
      <x:c r="AK91" s="12" t="n">
        <x:v>261126000000</x:v>
      </x:c>
      <x:c r="AL91" s="14" t="n">
        <x:v>0.18089619337783003</x:v>
      </x:c>
      <x:c r="AM91" s="13" t="n">
        <x:v>0</x:v>
      </x:c>
      <x:c r="AN91" s="13" t="n">
        <x:v>0</x:v>
      </x:c>
      <x:c r="AO91" s="14"/>
      <x:c r="AP91" s="10" t="str">
        <x:v>Unverified</x:v>
      </x:c>
      <x:c r="AQ91" s="10" t="str">
        <x:v>Proxy fallback; no issuer facilities in governed match file</x:v>
      </x:c>
      <x:c r="AR91" s="14"/>
      <x:c r="AS91" s="14" t="n">
        <x:v>7.579869737287252</x:v>
      </x:c>
      <x:c r="AT91" s="14" t="n">
        <x:v>7.251231109814821</x:v>
      </x:c>
      <x:c r="AU91" s="14" t="n">
        <x:v>9.627276973766637</x:v>
      </x:c>
      <x:c r="AV91" s="14" t="n">
        <x:v>2.5</x:v>
      </x:c>
      <x:c r="AW91" s="10" t="n">
        <x:v>1</x:v>
      </x:c>
      <x:c r="AX91" s="10" t="n">
        <x:v>0.3</x:v>
      </x:c>
      <x:c r="AY91" s="10" t="n">
        <x:v>0.75</x:v>
      </x:c>
      <x:c r="AZ91" s="10" t="n">
        <x:v>0.04</x:v>
      </x:c>
      <x:c r="BA91" s="10" t="n">
        <x:v>0.01</x:v>
      </x:c>
      <x:c r="BB91" s="10" t="n">
        <x:v>0.135</x:v>
      </x:c>
      <x:c r="BC91" s="10" t="n">
        <x:v>0.3</x:v>
      </x:c>
      <x:c r="BD91" s="10" t="n">
        <x:v>0.2</x:v>
      </x:c>
      <x:c r="BE91" s="10" t="n">
        <x:v>0.4</x:v>
      </x:c>
      <x:c r="BF91" s="10" t="n">
        <x:v>1</x:v>
      </x:c>
      <x:c r="BG91" s="10" t="n">
        <x:v>1</x:v>
      </x:c>
      <x:c r="BH91" s="10" t="n">
        <x:v>0.974074998898371</x:v>
      </x:c>
      <x:c r="BI91" s="10" t="str">
        <x:v>Common scenario elasticity + issuer SEC CapEx/CFO dependency scale</x:v>
      </x:c>
      <x:c r="BJ91" s="10" t="str">
        <x:v>Modeled estimate using observed inputs + disclosed assumptions</x:v>
      </x:c>
      <x:c r="BK91" s="11" t="b">
        <x:v>0</x:v>
      </x:c>
      <x:c r="BL91" s="11" t="b">
        <x:v>0</x:v>
      </x:c>
      <x:c r="BM91" s="11" t="b">
        <x:v>0</x:v>
      </x:c>
      <x:c r="BN91" s="10" t="str">
        <x:v>Conditional scenario sensitivity; not a forecast or probability</x:v>
      </x:c>
      <x:c r="BO91" s="14" t="n">
        <x:v>97.6695928139817</x:v>
      </x:c>
    </x:row>
    <x:row r="92" ht="18" customHeight="1">
      <x:c r="A92" s="10" t="str">
        <x:v>NEE</x:v>
      </x:c>
      <x:c r="B92" s="10" t="str">
        <x:v>Utilities</x:v>
      </x:c>
      <x:c r="C92" s="10" t="str">
        <x:v>cp_vs_delayed</x:v>
      </x:c>
      <x:c r="D92" s="10" t="str">
        <x:v>Current Policies vs Delayed Transition</x:v>
      </x:c>
      <x:c r="E92" s="10" t="str">
        <x:v>CP vs delayed</x:v>
      </x:c>
      <x:c r="F92" s="10" t="str">
        <x:v>current_policies</x:v>
      </x:c>
      <x:c r="G92" s="10" t="str">
        <x:v>delayed_transition</x:v>
      </x:c>
      <x:c r="H92" s="10" t="n">
        <x:v>2050</x:v>
      </x:c>
      <x:c r="I92" s="10" t="str">
        <x:v>low</x:v>
      </x:c>
      <x:c r="J92" s="11" t="b">
        <x:v>1</x:v>
      </x:c>
      <x:c r="K92" s="10" t="str">
        <x:v>CFP-2026-003-R17-20260804T234500Z</x:v>
      </x:c>
      <x:c r="L9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2" s="14" t="n">
        <x:v>7.303296144907168</x:v>
      </x:c>
      <x:c r="N92" s="12" t="n">
        <x:v>191499393698.5143</x:v>
      </x:c>
      <x:c r="O92" s="12" t="n">
        <x:v>205485161536.0185</x:v>
      </x:c>
      <x:c r="P92" s="12" t="n">
        <x:v>13972992061.274406</x:v>
      </x:c>
      <x:c r="Q92" s="12" t="n">
        <x:v>15922536116.732552</x:v>
      </x:c>
      <x:c r="R92" s="12" t="n">
        <x:v>1949544055.4581451</x:v>
      </x:c>
      <x:c r="S92" s="12" t="n">
        <x:v>9879440000</x:v>
      </x:c>
      <x:c r="T92" s="14" t="n">
        <x:v>-8.92284526167211</x:v>
      </x:c>
      <x:c r="U92" s="14" t="n">
        <x:v>0.04476183531763454</x:v>
      </x:c>
      <x:c r="V92" s="14" t="n">
        <x:v>-3.15</x:v>
      </x:c>
      <x:c r="W92" s="12" t="n">
        <x:v>-1446238716.5980976</x:v>
      </x:c>
      <x:c r="X92" s="12" t="n">
        <x:v>7255118.447523072</x:v>
      </x:c>
      <x:c r="Y92" s="12" t="n">
        <x:v>-510560457.3075711</x:v>
      </x:c>
      <x:c r="Z92" s="14" t="n">
        <x:v>5.266130221148185</x:v>
      </x:c>
      <x:c r="AA92" s="14" t="n">
        <x:v>-0.03192536278443992</x:v>
      </x:c>
      <x:c r="AB92" s="14" t="n">
        <x:v>2.069091286543414</x:v>
      </x:c>
      <x:c r="AC92" s="12" t="n">
        <x:v>-1446014640.033952</x:v>
      </x:c>
      <x:c r="AD92" s="12" t="n">
        <x:v>-213213.45400226855</x:v>
      </x:c>
      <x:c r="AE92" s="12" t="n">
        <x:v>-10863.110143121712</x:v>
      </x:c>
      <x:c r="AF92" s="12" t="n">
        <x:v>6855618.714353412</x:v>
      </x:c>
      <x:c r="AG92" s="12" t="n">
        <x:v>399499.73316966</x:v>
      </x:c>
      <x:c r="AH92" s="13" t="n">
        <x:v>43409916.37</x:v>
      </x:c>
      <x:c r="AI92" s="13" t="n">
        <x:v>25603</x:v>
      </x:c>
      <x:c r="AJ92" s="13" t="n">
        <x:v>65222.95</x:v>
      </x:c>
      <x:c r="AK92" s="12" t="n">
        <x:v>156197000000</x:v>
      </x:c>
      <x:c r="AL92" s="14" t="n">
        <x:v>0.25009029941509914</x:v>
      </x:c>
      <x:c r="AM92" s="13" t="n">
        <x:v>23</x:v>
      </x:c>
      <x:c r="AN92" s="13" t="n">
        <x:v>27</x:v>
      </x:c>
      <x:c r="AO92" s="14" t="n">
        <x:v>85.18518518518519</x:v>
      </x:c>
      <x:c r="AP92" s="10" t="str">
        <x:v>High</x:v>
      </x:c>
      <x:c r="AQ92" s="10" t="str">
        <x:v>Issuer facility-to-FEMA county match</x:v>
      </x:c>
      <x:c r="AR92" s="14" t="n">
        <x:v>0.25009029941509914</x:v>
      </x:c>
      <x:c r="AS92" s="14" t="n">
        <x:v>7.579869737287252</x:v>
      </x:c>
      <x:c r="AT92" s="14" t="n">
        <x:v>7.251231109814821</x:v>
      </x:c>
      <x:c r="AU92" s="14" t="n">
        <x:v>6.849686675720218</x:v>
      </x:c>
      <x:c r="AV92" s="14" t="n">
        <x:v>2</x:v>
      </x:c>
      <x:c r="AW92" s="10" t="n">
        <x:v>0.5</x:v>
      </x:c>
      <x:c r="AX92" s="10" t="n">
        <x:v>0.7</x:v>
      </x:c>
      <x:c r="AY92" s="10" t="n">
        <x:v>0.25</x:v>
      </x:c>
      <x:c r="AZ92" s="10" t="n">
        <x:v>0.0025</x:v>
      </x:c>
      <x:c r="BA92" s="10" t="n">
        <x:v>0.05</x:v>
      </x:c>
      <x:c r="BB92" s="10" t="n">
        <x:v>0.39</x:v>
      </x:c>
      <x:c r="BC92" s="10" t="n">
        <x:v>0.7</x:v>
      </x:c>
      <x:c r="BD92" s="10" t="n">
        <x:v>0.05</x:v>
      </x:c>
      <x:c r="BE92" s="10" t="n">
        <x:v>0.15</x:v>
      </x:c>
      <x:c r="BF92" s="10" t="n">
        <x:v>1</x:v>
      </x:c>
      <x:c r="BG92" s="10" t="n">
        <x:v>0.35</x:v>
      </x:c>
      <x:c r="BH92" s="10" t="n">
        <x:v>2</x:v>
      </x:c>
      <x:c r="BI92" s="10" t="str">
        <x:v>Common scenario elasticity + issuer SEC CapEx/CFO dependency scale</x:v>
      </x:c>
      <x:c r="BJ92" s="10" t="str">
        <x:v>Modeled estimate using observed inputs + disclosed assumptions</x:v>
      </x:c>
      <x:c r="BK92" s="11" t="b">
        <x:v>0</x:v>
      </x:c>
      <x:c r="BL92" s="11" t="b">
        <x:v>0</x:v>
      </x:c>
      <x:c r="BM92" s="11" t="b">
        <x:v>0</x:v>
      </x:c>
      <x:c r="BN92" s="10" t="str">
        <x:v>Conditional scenario sensitivity; not a forecast or probability</x:v>
      </x:c>
      <x:c r="BO92" s="14" t="n">
        <x:v>93.19378210428461</x:v>
      </x:c>
    </x:row>
    <x:row r="93" ht="18" customHeight="1">
      <x:c r="A93" s="10" t="str">
        <x:v>NEE</x:v>
      </x:c>
      <x:c r="B93" s="10" t="str">
        <x:v>Utilities</x:v>
      </x:c>
      <x:c r="C93" s="10" t="str">
        <x:v>cp_vs_delayed</x:v>
      </x:c>
      <x:c r="D93" s="10" t="str">
        <x:v>Current Policies vs Delayed Transition</x:v>
      </x:c>
      <x:c r="E93" s="10" t="str">
        <x:v>CP vs delayed</x:v>
      </x:c>
      <x:c r="F93" s="10" t="str">
        <x:v>current_policies</x:v>
      </x:c>
      <x:c r="G93" s="10" t="str">
        <x:v>delayed_transition</x:v>
      </x:c>
      <x:c r="H93" s="10" t="n">
        <x:v>2050</x:v>
      </x:c>
      <x:c r="I93" s="10" t="str">
        <x:v>base</x:v>
      </x:c>
      <x:c r="J93" s="11" t="b">
        <x:v>1</x:v>
      </x:c>
      <x:c r="K93" s="10" t="str">
        <x:v>CFP-2026-003-R17-20260804T234500Z</x:v>
      </x:c>
      <x:c r="L9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3" s="14" t="n">
        <x:v>29.639967406482825</x:v>
      </x:c>
      <x:c r="N93" s="12" t="n">
        <x:v>156716001215.5842</x:v>
      </x:c>
      <x:c r="O93" s="12" t="n">
        <x:v>203166572896.6266</x:v>
      </x:c>
      <x:c r="P93" s="12" t="n">
        <x:v>8702688654.416668</x:v>
      </x:c>
      <x:c r="Q93" s="12" t="n">
        <x:v>15645191181.486599</x:v>
      </x:c>
      <x:c r="R93" s="12" t="n">
        <x:v>6942502527.069931</x:v>
      </x:c>
      <x:c r="S93" s="12" t="n">
        <x:v>9879440000</x:v>
      </x:c>
      <x:c r="T93" s="14" t="n">
        <x:v>-37.55879960403254</x:v>
      </x:c>
      <x:c r="U93" s="14" t="n">
        <x:v>0.12570775905234227</x:v>
      </x:c>
      <x:c r="V93" s="14" t="n">
        <x:v>-5.3999999999999995</x:v>
      </x:c>
      <x:c r="W93" s="12" t="n">
        <x:v>-6087631079.923261</x:v>
      </x:c>
      <x:c r="X93" s="12" t="n">
        <x:v>20375051.09488058</x:v>
      </x:c>
      <x:c r="Y93" s="12" t="n">
        <x:v>-875246498.2415504</x:v>
      </x:c>
      <x:c r="Z93" s="14" t="n">
        <x:v>25.41482792762133</x:v>
      </x:c>
      <x:c r="AA93" s="14" t="n">
        <x:v>-0.10914007840728122</x:v>
      </x:c>
      <x:c r="AB93" s="14" t="n">
        <x:v>4.3342795572687765</x:v>
      </x:c>
      <x:c r="AC93" s="12" t="n">
        <x:v>-6085775437.806198</x:v>
      </x:c>
      <x:c r="AD93" s="12" t="n">
        <x:v>-1794683.3530625405</x:v>
      </x:c>
      <x:c r="AE93" s="12" t="n">
        <x:v>-60958.76400038037</x:v>
      </x:c>
      <x:c r="AF93" s="12" t="n">
        <x:v>19043385.317648366</x:v>
      </x:c>
      <x:c r="AG93" s="12" t="n">
        <x:v>1331665.7772322</x:v>
      </x:c>
      <x:c r="AH93" s="13" t="n">
        <x:v>43409916.37</x:v>
      </x:c>
      <x:c r="AI93" s="13" t="n">
        <x:v>25603</x:v>
      </x:c>
      <x:c r="AJ93" s="13" t="n">
        <x:v>65222.95</x:v>
      </x:c>
      <x:c r="AK93" s="12" t="n">
        <x:v>156197000000</x:v>
      </x:c>
      <x:c r="AL93" s="14" t="n">
        <x:v>0.25009029941509914</x:v>
      </x:c>
      <x:c r="AM93" s="13" t="n">
        <x:v>23</x:v>
      </x:c>
      <x:c r="AN93" s="13" t="n">
        <x:v>27</x:v>
      </x:c>
      <x:c r="AO93" s="14" t="n">
        <x:v>85.18518518518519</x:v>
      </x:c>
      <x:c r="AP93" s="10" t="str">
        <x:v>High</x:v>
      </x:c>
      <x:c r="AQ93" s="10" t="str">
        <x:v>Issuer facility-to-FEMA county match</x:v>
      </x:c>
      <x:c r="AR93" s="14" t="n">
        <x:v>0.25009029941509914</x:v>
      </x:c>
      <x:c r="AS93" s="14" t="n">
        <x:v>7.579869737287252</x:v>
      </x:c>
      <x:c r="AT93" s="14" t="n">
        <x:v>7.251231109814821</x:v>
      </x:c>
      <x:c r="AU93" s="14" t="n">
        <x:v>6.849686675720218</x:v>
      </x:c>
      <x:c r="AV93" s="14" t="n">
        <x:v>2</x:v>
      </x:c>
      <x:c r="AW93" s="10" t="n">
        <x:v>0.75</x:v>
      </x:c>
      <x:c r="AX93" s="10" t="n">
        <x:v>0.5</x:v>
      </x:c>
      <x:c r="AY93" s="10" t="n">
        <x:v>0.5</x:v>
      </x:c>
      <x:c r="AZ93" s="10" t="n">
        <x:v>0.005</x:v>
      </x:c>
      <x:c r="BA93" s="10" t="n">
        <x:v>0.03</x:v>
      </x:c>
      <x:c r="BB93" s="10" t="n">
        <x:v>0.65</x:v>
      </x:c>
      <x:c r="BC93" s="10" t="n">
        <x:v>0.5</x:v>
      </x:c>
      <x:c r="BD93" s="10" t="n">
        <x:v>0.1</x:v>
      </x:c>
      <x:c r="BE93" s="10" t="n">
        <x:v>0.25</x:v>
      </x:c>
      <x:c r="BF93" s="10" t="n">
        <x:v>1</x:v>
      </x:c>
      <x:c r="BG93" s="10" t="n">
        <x:v>0.6</x:v>
      </x:c>
      <x:c r="BH93" s="10" t="n">
        <x:v>2</x:v>
      </x:c>
      <x:c r="BI93" s="10" t="str">
        <x:v>Common scenario elasticity + issuer SEC CapEx/CFO dependency scale</x:v>
      </x:c>
      <x:c r="BJ93" s="10" t="str">
        <x:v>Modeled estimate using observed inputs + disclosed assumptions</x:v>
      </x:c>
      <x:c r="BK93" s="11" t="b">
        <x:v>0</x:v>
      </x:c>
      <x:c r="BL93" s="11" t="b">
        <x:v>0</x:v>
      </x:c>
      <x:c r="BM93" s="11" t="b">
        <x:v>0</x:v>
      </x:c>
      <x:c r="BN93" s="10" t="str">
        <x:v>Conditional scenario sensitivity; not a forecast or probability</x:v>
      </x:c>
      <x:c r="BO93" s="14" t="n">
        <x:v>77.1367056013309</x:v>
      </x:c>
    </x:row>
    <x:row r="94" ht="18" customHeight="1">
      <x:c r="A94" s="10" t="str">
        <x:v>NEE</x:v>
      </x:c>
      <x:c r="B94" s="10" t="str">
        <x:v>Utilities</x:v>
      </x:c>
      <x:c r="C94" s="10" t="str">
        <x:v>cp_vs_delayed</x:v>
      </x:c>
      <x:c r="D94" s="10" t="str">
        <x:v>Current Policies vs Delayed Transition</x:v>
      </x:c>
      <x:c r="E94" s="10" t="str">
        <x:v>CP vs delayed</x:v>
      </x:c>
      <x:c r="F94" s="10" t="str">
        <x:v>current_policies</x:v>
      </x:c>
      <x:c r="G94" s="10" t="str">
        <x:v>delayed_transition</x:v>
      </x:c>
      <x:c r="H94" s="10" t="n">
        <x:v>2050</x:v>
      </x:c>
      <x:c r="I94" s="10" t="str">
        <x:v>high</x:v>
      </x:c>
      <x:c r="J94" s="11" t="b">
        <x:v>1</x:v>
      </x:c>
      <x:c r="K94" s="10" t="str">
        <x:v>CFP-2026-003-R17-20260804T234500Z</x:v>
      </x:c>
      <x:c r="L9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4" s="14" t="n">
        <x:v>112.20296212117668</x:v>
      </x:c>
      <x:c r="N94" s="12" t="n">
        <x:v>93828178005.08028</x:v>
      </x:c>
      <x:c r="O94" s="12" t="n">
        <x:v>199106173031.11072</x:v>
      </x:c>
      <x:c r="P94" s="12" t="n">
        <x:v>0</x:v>
      </x:c>
      <x:c r="Q94" s="12" t="n">
        <x:v>15170679225.627037</x:v>
      </x:c>
      <x:c r="R94" s="12" t="n">
        <x:v>15170679225.627037</x:v>
      </x:c>
      <x:c r="S94" s="12" t="n">
        <x:v>9879440000</x:v>
      </x:c>
      <x:c r="T94" s="14" t="n">
        <x:v>-116.79686082097875</x:v>
      </x:c>
      <x:c r="U94" s="14" t="n">
        <x:v>0.2483505796586489</x:v>
      </x:c>
      <x:c r="V94" s="14" t="n">
        <x:v>-9</x:v>
      </x:c>
      <x:c r="W94" s="12" t="n">
        <x:v>-18930748785.031002</x:v>
      </x:c>
      <x:c r="X94" s="12" t="n">
        <x:v>40253328.73749846</x:v>
      </x:c>
      <x:c r="Y94" s="12" t="n">
        <x:v>-1458744163.7359176</x:v>
      </x:c>
      <x:c r="Z94" s="14" t="n">
        <x:v>104.05005764427493</x:v>
      </x:c>
      <x:c r="AA94" s="14" t="n">
        <x:v>-0.25328300822421385</x:v>
      </x:c>
      <x:c r="AB94" s="14" t="n">
        <x:v>8.406187485125944</x:v>
      </x:c>
      <x:c r="AC94" s="12" t="n">
        <x:v>-18922094349.22993</x:v>
      </x:c>
      <x:c r="AD94" s="12" t="n">
        <x:v>-8370133.292138857</x:v>
      </x:c>
      <x:c r="AE94" s="12" t="n">
        <x:v>-284302.5089281246</x:v>
      </x:c>
      <x:c r="AF94" s="12" t="n">
        <x:v>35991998.25035542</x:v>
      </x:c>
      <x:c r="AG94" s="12" t="n">
        <x:v>4261330.48714304</x:v>
      </x:c>
      <x:c r="AH94" s="13" t="n">
        <x:v>43409916.37</x:v>
      </x:c>
      <x:c r="AI94" s="13" t="n">
        <x:v>25603</x:v>
      </x:c>
      <x:c r="AJ94" s="13" t="n">
        <x:v>65222.95</x:v>
      </x:c>
      <x:c r="AK94" s="12" t="n">
        <x:v>156197000000</x:v>
      </x:c>
      <x:c r="AL94" s="14" t="n">
        <x:v>0.25009029941509914</x:v>
      </x:c>
      <x:c r="AM94" s="13" t="n">
        <x:v>23</x:v>
      </x:c>
      <x:c r="AN94" s="13" t="n">
        <x:v>27</x:v>
      </x:c>
      <x:c r="AO94" s="14" t="n">
        <x:v>85.18518518518519</x:v>
      </x:c>
      <x:c r="AP94" s="10" t="str">
        <x:v>High</x:v>
      </x:c>
      <x:c r="AQ94" s="10" t="str">
        <x:v>Issuer facility-to-FEMA county match</x:v>
      </x:c>
      <x:c r="AR94" s="14" t="n">
        <x:v>0.25009029941509914</x:v>
      </x:c>
      <x:c r="AS94" s="14" t="n">
        <x:v>7.579869737287252</x:v>
      </x:c>
      <x:c r="AT94" s="14" t="n">
        <x:v>7.251231109814821</x:v>
      </x:c>
      <x:c r="AU94" s="14" t="n">
        <x:v>6.849686675720218</x:v>
      </x:c>
      <x:c r="AV94" s="14" t="n">
        <x:v>2</x:v>
      </x:c>
      <x:c r="AW94" s="10" t="n">
        <x:v>1</x:v>
      </x:c>
      <x:c r="AX94" s="10" t="n">
        <x:v>0.3</x:v>
      </x:c>
      <x:c r="AY94" s="10" t="n">
        <x:v>0.75</x:v>
      </x:c>
      <x:c r="AZ94" s="10" t="n">
        <x:v>0.01</x:v>
      </x:c>
      <x:c r="BA94" s="10" t="n">
        <x:v>0.01</x:v>
      </x:c>
      <x:c r="BB94" s="10" t="n">
        <x:v>0.8775000000000001</x:v>
      </x:c>
      <x:c r="BC94" s="10" t="n">
        <x:v>0.3</x:v>
      </x:c>
      <x:c r="BD94" s="10" t="n">
        <x:v>0.2</x:v>
      </x:c>
      <x:c r="BE94" s="10" t="n">
        <x:v>0.4</x:v>
      </x:c>
      <x:c r="BF94" s="10" t="n">
        <x:v>1</x:v>
      </x:c>
      <x:c r="BG94" s="10" t="n">
        <x:v>1</x:v>
      </x:c>
      <x:c r="BH94" s="10" t="n">
        <x:v>2</x:v>
      </x:c>
      <x:c r="BI94" s="10" t="str">
        <x:v>Common scenario elasticity + issuer SEC CapEx/CFO dependency scale</x:v>
      </x:c>
      <x:c r="BJ94" s="10" t="str">
        <x:v>Modeled estimate using observed inputs + disclosed assumptions</x:v>
      </x:c>
      <x:c r="BK94" s="11" t="b">
        <x:v>0</x:v>
      </x:c>
      <x:c r="BL94" s="11" t="b">
        <x:v>0</x:v>
      </x:c>
      <x:c r="BM94" s="11" t="b">
        <x:v>1</x:v>
      </x:c>
      <x:c r="BN94" s="10" t="str">
        <x:v>Extreme relative scenario differential; denominator-sensitive</x:v>
      </x:c>
      <x:c r="BO94" s="14" t="n">
        <x:v>47.124695621777356</x:v>
      </x:c>
    </x:row>
    <x:row r="95" ht="18" customHeight="1">
      <x:c r="A95" s="10" t="str">
        <x:v>XOM</x:v>
      </x:c>
      <x:c r="B95" s="10" t="str">
        <x:v>Energy</x:v>
      </x:c>
      <x:c r="C95" s="10" t="str">
        <x:v>cp_vs_delayed</x:v>
      </x:c>
      <x:c r="D95" s="10" t="str">
        <x:v>Current Policies vs Delayed Transition</x:v>
      </x:c>
      <x:c r="E95" s="10" t="str">
        <x:v>CP vs delayed</x:v>
      </x:c>
      <x:c r="F95" s="10" t="str">
        <x:v>current_policies</x:v>
      </x:c>
      <x:c r="G95" s="10" t="str">
        <x:v>delayed_transition</x:v>
      </x:c>
      <x:c r="H95" s="10" t="n">
        <x:v>2050</x:v>
      </x:c>
      <x:c r="I95" s="10" t="str">
        <x:v>low</x:v>
      </x:c>
      <x:c r="J95" s="11" t="b">
        <x:v>1</x:v>
      </x:c>
      <x:c r="K95" s="10" t="str">
        <x:v>CFP-2026-003-R17-20260804T234500Z</x:v>
      </x:c>
      <x:c r="L9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5" s="14" t="n">
        <x:v>7.664626721599133</x:v>
      </x:c>
      <x:c r="N95" s="12" t="n">
        <x:v>624301482979.384</x:v>
      </x:c>
      <x:c r="O95" s="12" t="n">
        <x:v>672151861267.1616</x:v>
      </x:c>
      <x:c r="P95" s="12" t="n">
        <x:v>33014841393.22408</x:v>
      </x:c>
      <x:c r="Q95" s="12" t="n">
        <x:v>37211330440.244995</x:v>
      </x:c>
      <x:c r="R95" s="12" t="n">
        <x:v>4196489047.020916</x:v>
      </x:c>
      <x:c r="S95" s="12" t="n">
        <x:v>24046905786.56586</x:v>
      </x:c>
      <x:c r="T95" s="14" t="n">
        <x:v>-9.545612007836905</x:v>
      </x:c>
      <x:c r="U95" s="14" t="n">
        <x:v>0.02048904397897375</x:v>
      </x:c>
      <x:c r="V95" s="14" t="n">
        <x:v>-1.6469160092360973</x:v>
      </x:c>
      <x:c r="W95" s="12" t="n">
        <x:v>-3585563596.266716</x:v>
      </x:c>
      <x:c r="X95" s="12" t="n">
        <x:v>7696182.30376447</x:v>
      </x:c>
      <x:c r="Y95" s="12" t="n">
        <x:v>-618621633.0579674</x:v>
      </x:c>
      <x:c r="Z95" s="14" t="n">
        <x:v>6.468828781862625</x:v>
      </x:c>
      <x:c r="AA95" s="14" t="n">
        <x:v>-0.015623496003947647</x:v>
      </x:c>
      <x:c r="AB95" s="14" t="n">
        <x:v>1.2114214357404645</x:v>
      </x:c>
      <x:c r="AC95" s="12" t="n">
        <x:v>-3464312653.397793</x:v>
      </x:c>
      <x:c r="AD95" s="12" t="n">
        <x:v>-58293722.53313596</x:v>
      </x:c>
      <x:c r="AE95" s="12" t="n">
        <x:v>-62957220.33578681</x:v>
      </x:c>
      <x:c r="AF95" s="12" t="n">
        <x:v>6770347.455754109</x:v>
      </x:c>
      <x:c r="AG95" s="12" t="n">
        <x:v>925834.8480103649</x:v>
      </x:c>
      <x:c r="AH95" s="13" t="n">
        <x:v>104000000</x:v>
      </x:c>
      <x:c r="AI95" s="13" t="n">
        <x:v>7000000</x:v>
      </x:c>
      <x:c r="AJ95" s="13" t="n">
        <x:v>630000000</x:v>
      </x:c>
      <x:c r="AK95" s="12" t="n">
        <x:v>299373000000</x:v>
      </x:c>
      <x:c r="AL95" s="14" t="n">
        <x:v>0.18613243120519987</x:v>
      </x:c>
      <x:c r="AM95" s="13" t="n">
        <x:v>49</x:v>
      </x:c>
      <x:c r="AN95" s="13" t="n">
        <x:v>68</x:v>
      </x:c>
      <x:c r="AO95" s="14" t="n">
        <x:v>72.05882352941177</x:v>
      </x:c>
      <x:c r="AP95" s="10" t="str">
        <x:v>Medium</x:v>
      </x:c>
      <x:c r="AQ95" s="10" t="str">
        <x:v>Issuer facility-to-FEMA county match</x:v>
      </x:c>
      <x:c r="AR95" s="14" t="n">
        <x:v>0.18613243120519987</x:v>
      </x:c>
      <x:c r="AS95" s="14" t="n">
        <x:v>7.579869737287252</x:v>
      </x:c>
      <x:c r="AT95" s="14" t="n">
        <x:v>7.251231109814821</x:v>
      </x:c>
      <x:c r="AU95" s="14" t="n">
        <x:v>5.418008975739499</x:v>
      </x:c>
      <x:c r="AV95" s="14" t="n">
        <x:v>1.7999999999999998</x:v>
      </x:c>
      <x:c r="AW95" s="10" t="n">
        <x:v>0.5</x:v>
      </x:c>
      <x:c r="AX95" s="10" t="n">
        <x:v>0.7</x:v>
      </x:c>
      <x:c r="AY95" s="10" t="n">
        <x:v>0.25</x:v>
      </x:c>
      <x:c r="AZ95" s="10" t="n">
        <x:v>0.0015</x:v>
      </x:c>
      <x:c r="BA95" s="10" t="n">
        <x:v>0.05</x:v>
      </x:c>
      <x:c r="BB95" s="10" t="n">
        <x:v>0.27</x:v>
      </x:c>
      <x:c r="BC95" s="10" t="n">
        <x:v>0.7</x:v>
      </x:c>
      <x:c r="BD95" s="10" t="n">
        <x:v>0.05</x:v>
      </x:c>
      <x:c r="BE95" s="10" t="n">
        <x:v>0.15</x:v>
      </x:c>
      <x:c r="BF95" s="10" t="n">
        <x:v>1</x:v>
      </x:c>
      <x:c r="BG95" s="10" t="n">
        <x:v>0.35</x:v>
      </x:c>
      <x:c r="BH95" s="10" t="n">
        <x:v>1.0456609582451413</x:v>
      </x:c>
      <x:c r="BI95" s="10" t="str">
        <x:v>Common scenario elasticity + issuer SEC CapEx/CFO dependency scale</x:v>
      </x:c>
      <x:c r="BJ95" s="10" t="str">
        <x:v>Modeled estimate using observed inputs + disclosed assumptions</x:v>
      </x:c>
      <x:c r="BK95" s="11" t="b">
        <x:v>0</x:v>
      </x:c>
      <x:c r="BL95" s="11" t="b">
        <x:v>0</x:v>
      </x:c>
      <x:c r="BM95" s="11" t="b">
        <x:v>0</x:v>
      </x:c>
      <x:c r="BN95" s="10" t="str">
        <x:v>Conditional scenario sensitivity; not a forecast or probability</x:v>
      </x:c>
      <x:c r="BO95" s="14" t="n">
        <x:v>92.88101676939962</x:v>
      </x:c>
    </x:row>
    <x:row r="96" ht="18" customHeight="1">
      <x:c r="A96" s="10" t="str">
        <x:v>XOM</x:v>
      </x:c>
      <x:c r="B96" s="10" t="str">
        <x:v>Energy</x:v>
      </x:c>
      <x:c r="C96" s="10" t="str">
        <x:v>cp_vs_delayed</x:v>
      </x:c>
      <x:c r="D96" s="10" t="str">
        <x:v>Current Policies vs Delayed Transition</x:v>
      </x:c>
      <x:c r="E96" s="10" t="str">
        <x:v>CP vs delayed</x:v>
      </x:c>
      <x:c r="F96" s="10" t="str">
        <x:v>current_policies</x:v>
      </x:c>
      <x:c r="G96" s="10" t="str">
        <x:v>delayed_transition</x:v>
      </x:c>
      <x:c r="H96" s="10" t="n">
        <x:v>2050</x:v>
      </x:c>
      <x:c r="I96" s="10" t="str">
        <x:v>base</x:v>
      </x:c>
      <x:c r="J96" s="11" t="b">
        <x:v>1</x:v>
      </x:c>
      <x:c r="K96" s="10" t="str">
        <x:v>CFP-2026-003-R17-20260804T234500Z</x:v>
      </x:c>
      <x:c r="L9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6" s="14" t="n">
        <x:v>36.47822813752721</x:v>
      </x:c>
      <x:c r="N96" s="12" t="n">
        <x:v>489044074886.40845</x:v>
      </x:c>
      <x:c r="O96" s="12" t="n">
        <x:v>667438688216.532</x:v>
      </x:c>
      <x:c r="P96" s="12" t="n">
        <x:v>20390307522.297176</x:v>
      </x:c>
      <x:c r="Q96" s="12" t="n">
        <x:v>36852965864.99589</x:v>
      </x:c>
      <x:c r="R96" s="12" t="n">
        <x:v>16462658342.698711</x:v>
      </x:c>
      <x:c r="S96" s="12" t="n">
        <x:v>24046905786.56586</x:v>
      </x:c>
      <x:c r="T96" s="14" t="n">
        <x:v>-41.062459884879985</x:v>
      </x:c>
      <x:c r="U96" s="14" t="n">
        <x:v>0.058283338667173265</x:v>
      </x:c>
      <x:c r="V96" s="14" t="n">
        <x:v>-2.823284587261881</x:v>
      </x:c>
      <x:c r="W96" s="12" t="n">
        <x:v>-15424056751.469803</x:v>
      </x:c>
      <x:c r="X96" s="12" t="n">
        <x:v>21892636.870462596</x:v>
      </x:c>
      <x:c r="Y96" s="12" t="n">
        <x:v>-1060494228.0993726</x:v>
      </x:c>
      <x:c r="Z96" s="14" t="n">
        <x:v>33.88353317959778</x:v>
      </x:c>
      <x:c r="AA96" s="14" t="n">
        <x:v>-0.056397201009804415</x:v>
      </x:c>
      <x:c r="AB96" s="14" t="n">
        <x:v>2.651092158939245</x:v>
      </x:c>
      <x:c r="AC96" s="12" t="n">
        <x:v>-14580093638.90983</x:v>
      </x:c>
      <x:c r="AD96" s="12" t="n">
        <x:v>-490676228.23254234</x:v>
      </x:c>
      <x:c r="AE96" s="12" t="n">
        <x:v>-353286884.3274305</x:v>
      </x:c>
      <x:c r="AF96" s="12" t="n">
        <x:v>18806520.710428074</x:v>
      </x:c>
      <x:c r="AG96" s="12" t="n">
        <x:v>3086116.1600345373</x:v>
      </x:c>
      <x:c r="AH96" s="13" t="n">
        <x:v>104000000</x:v>
      </x:c>
      <x:c r="AI96" s="13" t="n">
        <x:v>7000000</x:v>
      </x:c>
      <x:c r="AJ96" s="13" t="n">
        <x:v>630000000</x:v>
      </x:c>
      <x:c r="AK96" s="12" t="n">
        <x:v>299373000000</x:v>
      </x:c>
      <x:c r="AL96" s="14" t="n">
        <x:v>0.18613243120519987</x:v>
      </x:c>
      <x:c r="AM96" s="13" t="n">
        <x:v>49</x:v>
      </x:c>
      <x:c r="AN96" s="13" t="n">
        <x:v>68</x:v>
      </x:c>
      <x:c r="AO96" s="14" t="n">
        <x:v>72.05882352941177</x:v>
      </x:c>
      <x:c r="AP96" s="10" t="str">
        <x:v>Medium</x:v>
      </x:c>
      <x:c r="AQ96" s="10" t="str">
        <x:v>Issuer facility-to-FEMA county match</x:v>
      </x:c>
      <x:c r="AR96" s="14" t="n">
        <x:v>0.18613243120519987</x:v>
      </x:c>
      <x:c r="AS96" s="14" t="n">
        <x:v>7.579869737287252</x:v>
      </x:c>
      <x:c r="AT96" s="14" t="n">
        <x:v>7.251231109814821</x:v>
      </x:c>
      <x:c r="AU96" s="14" t="n">
        <x:v>5.418008975739499</x:v>
      </x:c>
      <x:c r="AV96" s="14" t="n">
        <x:v>1.7999999999999998</x:v>
      </x:c>
      <x:c r="AW96" s="10" t="n">
        <x:v>0.75</x:v>
      </x:c>
      <x:c r="AX96" s="10" t="n">
        <x:v>0.5</x:v>
      </x:c>
      <x:c r="AY96" s="10" t="n">
        <x:v>0.5</x:v>
      </x:c>
      <x:c r="AZ96" s="10" t="n">
        <x:v>0.003</x:v>
      </x:c>
      <x:c r="BA96" s="10" t="n">
        <x:v>0.03</x:v>
      </x:c>
      <x:c r="BB96" s="10" t="n">
        <x:v>0.45</x:v>
      </x:c>
      <x:c r="BC96" s="10" t="n">
        <x:v>0.5</x:v>
      </x:c>
      <x:c r="BD96" s="10" t="n">
        <x:v>0.1</x:v>
      </x:c>
      <x:c r="BE96" s="10" t="n">
        <x:v>0.25</x:v>
      </x:c>
      <x:c r="BF96" s="10" t="n">
        <x:v>1</x:v>
      </x:c>
      <x:c r="BG96" s="10" t="n">
        <x:v>0.6</x:v>
      </x:c>
      <x:c r="BH96" s="10" t="n">
        <x:v>1.0456609582451413</x:v>
      </x:c>
      <x:c r="BI96" s="10" t="str">
        <x:v>Common scenario elasticity + issuer SEC CapEx/CFO dependency scale</x:v>
      </x:c>
      <x:c r="BJ96" s="10" t="str">
        <x:v>Modeled estimate using observed inputs + disclosed assumptions</x:v>
      </x:c>
      <x:c r="BK96" s="11" t="b">
        <x:v>0</x:v>
      </x:c>
      <x:c r="BL96" s="11" t="b">
        <x:v>0</x:v>
      </x:c>
      <x:c r="BM96" s="11" t="b">
        <x:v>0</x:v>
      </x:c>
      <x:c r="BN96" s="10" t="str">
        <x:v>Conditional scenario sensitivity; not a forecast or probability</x:v>
      </x:c>
      <x:c r="BO96" s="14" t="n">
        <x:v>73.27176016619397</x:v>
      </x:c>
    </x:row>
    <x:row r="97" ht="18" customHeight="1">
      <x:c r="A97" s="10" t="str">
        <x:v>XOM</x:v>
      </x:c>
      <x:c r="B97" s="10" t="str">
        <x:v>Energy</x:v>
      </x:c>
      <x:c r="C97" s="10" t="str">
        <x:v>cp_vs_delayed</x:v>
      </x:c>
      <x:c r="D97" s="10" t="str">
        <x:v>Current Policies vs Delayed Transition</x:v>
      </x:c>
      <x:c r="E97" s="10" t="str">
        <x:v>CP vs delayed</x:v>
      </x:c>
      <x:c r="F97" s="10" t="str">
        <x:v>current_policies</x:v>
      </x:c>
      <x:c r="G97" s="10" t="str">
        <x:v>delayed_transition</x:v>
      </x:c>
      <x:c r="H97" s="10" t="n">
        <x:v>2050</x:v>
      </x:c>
      <x:c r="I97" s="10" t="str">
        <x:v>high</x:v>
      </x:c>
      <x:c r="J97" s="11" t="b">
        <x:v>1</x:v>
      </x:c>
      <x:c r="K97" s="10" t="str">
        <x:v>CFP-2026-003-R17-20260804T234500Z</x:v>
      </x:c>
      <x:c r="L9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7" s="14" t="n">
        <x:v>163.4960691058577</x:v>
      </x:c>
      <x:c r="N97" s="12" t="n">
        <x:v>249856918064.80286</x:v>
      </x:c>
      <x:c r="O97" s="12" t="n">
        <x:v>658363157489.7992</x:v>
      </x:c>
      <x:c r="P97" s="12" t="n">
        <x:v>0</x:v>
      </x:c>
      <x:c r="Q97" s="12" t="n">
        <x:v>36179337989.60489</x:v>
      </x:c>
      <x:c r="R97" s="12" t="n">
        <x:v>36179337989.60489</x:v>
      </x:c>
      <x:c r="S97" s="12" t="n">
        <x:v>24046905786.56586</x:v>
      </x:c>
      <x:c r="T97" s="14" t="n">
        <x:v>-131.1657147588829</x:v>
      </x:c>
      <x:c r="U97" s="14" t="n">
        <x:v>0.12091842513067971</x:v>
      </x:c>
      <x:c r="V97" s="14" t="n">
        <x:v>-4.705474312103135</x:v>
      </x:c>
      <x:c r="W97" s="12" t="n">
        <x:v>-49269026598.98996</x:v>
      </x:c>
      <x:c r="X97" s="12" t="n">
        <x:v>45419895.854819596</x:v>
      </x:c>
      <x:c r="Y97" s="12" t="n">
        <x:v>-1767490380.1656213</x:v>
      </x:c>
      <x:c r="Z97" s="14" t="n">
        <x:v>158.0290354162752</x:v>
      </x:c>
      <x:c r="AA97" s="14" t="n">
        <x:v>-0.14595657179565025</x:v>
      </x:c>
      <x:c r="AB97" s="14" t="n">
        <x:v>5.61299026137814</x:v>
      </x:c>
      <x:c r="AC97" s="12" t="n">
        <x:v>-45332909548.74773</x:v>
      </x:c>
      <x:c r="AD97" s="12" t="n">
        <x:v>-2288440145.489669</x:v>
      </x:c>
      <x:c r="AE97" s="12" t="n">
        <x:v>-1647676904.752562</x:v>
      </x:c>
      <x:c r="AF97" s="12" t="n">
        <x:v>35544324.14270908</x:v>
      </x:c>
      <x:c r="AG97" s="12" t="n">
        <x:v>9875571.71211052</x:v>
      </x:c>
      <x:c r="AH97" s="13" t="n">
        <x:v>104000000</x:v>
      </x:c>
      <x:c r="AI97" s="13" t="n">
        <x:v>7000000</x:v>
      </x:c>
      <x:c r="AJ97" s="13" t="n">
        <x:v>630000000</x:v>
      </x:c>
      <x:c r="AK97" s="12" t="n">
        <x:v>299373000000</x:v>
      </x:c>
      <x:c r="AL97" s="14" t="n">
        <x:v>0.18613243120519987</x:v>
      </x:c>
      <x:c r="AM97" s="13" t="n">
        <x:v>49</x:v>
      </x:c>
      <x:c r="AN97" s="13" t="n">
        <x:v>68</x:v>
      </x:c>
      <x:c r="AO97" s="14" t="n">
        <x:v>72.05882352941177</x:v>
      </x:c>
      <x:c r="AP97" s="10" t="str">
        <x:v>Medium</x:v>
      </x:c>
      <x:c r="AQ97" s="10" t="str">
        <x:v>Issuer facility-to-FEMA county match</x:v>
      </x:c>
      <x:c r="AR97" s="14" t="n">
        <x:v>0.18613243120519987</x:v>
      </x:c>
      <x:c r="AS97" s="14" t="n">
        <x:v>7.579869737287252</x:v>
      </x:c>
      <x:c r="AT97" s="14" t="n">
        <x:v>7.251231109814821</x:v>
      </x:c>
      <x:c r="AU97" s="14" t="n">
        <x:v>5.418008975739499</x:v>
      </x:c>
      <x:c r="AV97" s="14" t="n">
        <x:v>1.7999999999999998</x:v>
      </x:c>
      <x:c r="AW97" s="10" t="n">
        <x:v>1</x:v>
      </x:c>
      <x:c r="AX97" s="10" t="n">
        <x:v>0.3</x:v>
      </x:c>
      <x:c r="AY97" s="10" t="n">
        <x:v>0.75</x:v>
      </x:c>
      <x:c r="AZ97" s="10" t="n">
        <x:v>0.006</x:v>
      </x:c>
      <x:c r="BA97" s="10" t="n">
        <x:v>0.01</x:v>
      </x:c>
      <x:c r="BB97" s="10" t="n">
        <x:v>0.6075</x:v>
      </x:c>
      <x:c r="BC97" s="10" t="n">
        <x:v>0.3</x:v>
      </x:c>
      <x:c r="BD97" s="10" t="n">
        <x:v>0.2</x:v>
      </x:c>
      <x:c r="BE97" s="10" t="n">
        <x:v>0.4</x:v>
      </x:c>
      <x:c r="BF97" s="10" t="n">
        <x:v>1</x:v>
      </x:c>
      <x:c r="BG97" s="10" t="n">
        <x:v>1</x:v>
      </x:c>
      <x:c r="BH97" s="10" t="n">
        <x:v>1.0456609582451413</x:v>
      </x:c>
      <x:c r="BI97" s="10" t="str">
        <x:v>Common scenario elasticity + issuer SEC CapEx/CFO dependency scale</x:v>
      </x:c>
      <x:c r="BJ97" s="10" t="str">
        <x:v>Modeled estimate using observed inputs + disclosed assumptions</x:v>
      </x:c>
      <x:c r="BK97" s="11" t="b">
        <x:v>0</x:v>
      </x:c>
      <x:c r="BL97" s="11" t="b">
        <x:v>0</x:v>
      </x:c>
      <x:c r="BM97" s="11" t="b">
        <x:v>1</x:v>
      </x:c>
      <x:c r="BN97" s="10" t="str">
        <x:v>Extreme relative scenario differential; denominator-sensitive</x:v>
      </x:c>
      <x:c r="BO97" s="14" t="n">
        <x:v>37.95123029324043</x:v>
      </x:c>
    </x:row>
    <x:row r="98" ht="18" customHeight="1">
      <x:c r="A98" s="10" t="str">
        <x:v>AAPL</x:v>
      </x:c>
      <x:c r="B98" s="10" t="str">
        <x:v>Technology</x:v>
      </x:c>
      <x:c r="C98" s="10" t="str">
        <x:v>fragmented_vs_baseline</x:v>
      </x:c>
      <x:c r="D98" s="10" t="str">
        <x:v>Fragmented World vs baseline</x:v>
      </x:c>
      <x:c r="E98" s="10" t="str">
        <x:v>Fragmented vs baseline</x:v>
      </x:c>
      <x:c r="F98" s="10" t="str">
        <x:v>fragmented_world</x:v>
      </x:c>
      <x:c r="G98" s="10" t="str">
        <x:v>baseline</x:v>
      </x:c>
      <x:c r="H98" s="10" t="n">
        <x:v>2050</x:v>
      </x:c>
      <x:c r="I98" s="10" t="str">
        <x:v>low</x:v>
      </x:c>
      <x:c r="J98" s="11" t="b">
        <x:v>1</x:v>
      </x:c>
      <x:c r="K98" s="10" t="str">
        <x:v>CFP-2026-003-R17-20260804T234500Z</x:v>
      </x:c>
      <x:c r="L9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8" s="14" t="n">
        <x:v>-0.9265118117452231</x:v>
      </x:c>
      <x:c r="N98" s="12" t="n">
        <x:v>1511832209193.6655</x:v>
      </x:c>
      <x:c r="O98" s="12" t="n">
        <x:v>1497824905201.7175</x:v>
      </x:c>
      <x:c r="P98" s="12" t="n">
        <x:v>190556654157.15817</x:v>
      </x:c>
      <x:c r="Q98" s="12" t="n">
        <x:v>187169721625.2621</x:v>
      </x:c>
      <x:c r="R98" s="12" t="n">
        <x:v>-3386932531.8960876</x:v>
      </x:c>
      <x:c r="S98" s="12" t="n">
        <x:v>102784466009.31221</x:v>
      </x:c>
      <x:c r="T98" s="14" t="n">
        <x:v>0.0012742848089595646</x:v>
      </x:c>
      <x:c r="U98" s="14" t="n">
        <x:v>0.05676246140585995</x:v>
      </x:c>
      <x:c r="V98" s="14" t="n">
        <x:v>1.7193520030139395</x:v>
      </x:c>
      <x:c r="W98" s="12" t="n">
        <x:v>2428234.496386281</x:v>
      </x:c>
      <x:c r="X98" s="12" t="n">
        <x:v>108164647.27225493</x:v>
      </x:c>
      <x:c r="Y98" s="12" t="n">
        <x:v>3276339650.1274443</x:v>
      </x:c>
      <x:c r="Z98" s="14" t="n">
        <x:v>-0.0008884174182232663</x:v>
      </x:c>
      <x:c r="AA98" s="14" t="n">
        <x:v>-0.053918895795643164</x:v>
      </x:c>
      <x:c r="AB98" s="14" t="n">
        <x:v>-0.8717044985313523</x:v>
      </x:c>
      <x:c r="AC98" s="12" t="n">
        <x:v>374174.1760081588</x:v>
      </x:c>
      <x:c r="AD98" s="12" t="n">
        <x:v>5592.277087078462</x:v>
      </x:c>
      <x:c r="AE98" s="12" t="n">
        <x:v>2048468.0432910437</x:v>
      </x:c>
      <x:c r="AF98" s="12" t="n">
        <x:v>1878229.4378731854</x:v>
      </x:c>
      <x:c r="AG98" s="12" t="n">
        <x:v>106286417.83438174</x:v>
      </x:c>
      <x:c r="AH98" s="13" t="n">
        <x:v>55200</x:v>
      </x:c>
      <x:c r="AI98" s="13" t="n">
        <x:v>3300</x:v>
      </x:c>
      <x:c r="AJ98" s="13" t="n">
        <x:v>15110000</x:v>
      </x:c>
      <x:c r="AK98" s="12" t="n">
        <x:v>50159000000</x:v>
      </x:c>
      <x:c r="AL98" s="14" t="n">
        <x:v>0.18089619337783003</x:v>
      </x:c>
      <x:c r="AM98" s="13" t="n">
        <x:v>0</x:v>
      </x:c>
      <x:c r="AN98" s="13" t="n">
        <x:v>0</x:v>
      </x:c>
      <x:c r="AO98" s="14"/>
      <x:c r="AP98" s="10" t="str">
        <x:v>Unverified</x:v>
      </x:c>
      <x:c r="AQ98" s="10" t="str">
        <x:v>Proxy fallback; no issuer facilities in governed match file</x:v>
      </x:c>
      <x:c r="AR98" s="14"/>
      <x:c r="AS98" s="14" t="n">
        <x:v>7.43690764334572</x:v>
      </x:c>
      <x:c r="AT98" s="14" t="n">
        <x:v>0</x:v>
      </x:c>
      <x:c r="AU98" s="14" t="n">
        <x:v>9.468635607765986</x:v>
      </x:c>
      <x:c r="AV98" s="14" t="n">
        <x:v>2.5</x:v>
      </x:c>
      <x:c r="AW98" s="10" t="n">
        <x:v>0.5</x:v>
      </x:c>
      <x:c r="AX98" s="10" t="n">
        <x:v>0.7</x:v>
      </x:c>
      <x:c r="AY98" s="10" t="n">
        <x:v>0.25</x:v>
      </x:c>
      <x:c r="AZ98" s="10" t="n">
        <x:v>0.01</x:v>
      </x:c>
      <x:c r="BA98" s="10" t="n">
        <x:v>0.05</x:v>
      </x:c>
      <x:c r="BB98" s="10" t="n">
        <x:v>0.06</x:v>
      </x:c>
      <x:c r="BC98" s="10" t="n">
        <x:v>0.7</x:v>
      </x:c>
      <x:c r="BD98" s="10" t="n">
        <x:v>0.05</x:v>
      </x:c>
      <x:c r="BE98" s="10" t="n">
        <x:v>0.15</x:v>
      </x:c>
      <x:c r="BF98" s="10" t="n">
        <x:v>1.15</x:v>
      </x:c>
      <x:c r="BG98" s="10" t="n">
        <x:v>0.35</x:v>
      </x:c>
      <x:c r="BH98" s="10" t="n">
        <x:v>0.6140542867906926</x:v>
      </x:c>
      <x:c r="BI98" s="10" t="str">
        <x:v>Common scenario elasticity + issuer SEC CapEx/CFO dependency scale</x:v>
      </x:c>
      <x:c r="BJ98" s="10" t="str">
        <x:v>Modeled estimate using observed inputs + disclosed assumptions</x:v>
      </x:c>
      <x:c r="BK98" s="11" t="b">
        <x:v>0</x:v>
      </x:c>
      <x:c r="BL98" s="11" t="b">
        <x:v>0</x:v>
      </x:c>
      <x:c r="BM98" s="11" t="b">
        <x:v>0</x:v>
      </x:c>
      <x:c r="BN98" s="10" t="str">
        <x:v>Conditional scenario sensitivity; not a forecast or probability</x:v>
      </x:c>
      <x:c r="BO98" s="14" t="n">
        <x:v>100.93517633091176</x:v>
      </x:c>
    </x:row>
    <x:row r="99" ht="18" customHeight="1">
      <x:c r="A99" s="10" t="str">
        <x:v>AAPL</x:v>
      </x:c>
      <x:c r="B99" s="10" t="str">
        <x:v>Technology</x:v>
      </x:c>
      <x:c r="C99" s="10" t="str">
        <x:v>fragmented_vs_baseline</x:v>
      </x:c>
      <x:c r="D99" s="10" t="str">
        <x:v>Fragmented World vs baseline</x:v>
      </x:c>
      <x:c r="E99" s="10" t="str">
        <x:v>Fragmented vs baseline</x:v>
      </x:c>
      <x:c r="F99" s="10" t="str">
        <x:v>fragmented_world</x:v>
      </x:c>
      <x:c r="G99" s="10" t="str">
        <x:v>baseline</x:v>
      </x:c>
      <x:c r="H99" s="10" t="n">
        <x:v>2050</x:v>
      </x:c>
      <x:c r="I99" s="10" t="str">
        <x:v>base</x:v>
      </x:c>
      <x:c r="J99" s="11" t="b">
        <x:v>1</x:v>
      </x:c>
      <x:c r="K99" s="10" t="str">
        <x:v>CFP-2026-003-R17-20260804T234500Z</x:v>
      </x:c>
      <x:c r="L9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99" s="14" t="n">
        <x:v>-1.6778831295729324</x:v>
      </x:c>
      <x:c r="N99" s="12" t="n">
        <x:v>1511832209193.6655</x:v>
      </x:c>
      <x:c r="O99" s="12" t="n">
        <x:v>1486465431608.1553</x:v>
      </x:c>
      <x:c r="P99" s="12" t="n">
        <x:v>190556654157.15817</x:v>
      </x:c>
      <x:c r="Q99" s="12" t="n">
        <x:v>184567449636.8617</x:v>
      </x:c>
      <x:c r="R99" s="12" t="n">
        <x:v>-5989204520.296478</x:v>
      </x:c>
      <x:c r="S99" s="12" t="n">
        <x:v>102784466009.31221</x:v>
      </x:c>
      <x:c r="T99" s="14" t="n">
        <x:v>0.00688346442223006</x:v>
      </x:c>
      <x:c r="U99" s="14" t="n">
        <x:v>0.1886606190857737</x:v>
      </x:c>
      <x:c r="V99" s="14" t="n">
        <x:v>2.947460576595325</x:v>
      </x:c>
      <x:c r="W99" s="12" t="n">
        <x:v>13116899.493099961</x:v>
      </x:c>
      <x:c r="X99" s="12" t="n">
        <x:v>359505363.4420313</x:v>
      </x:c>
      <x:c r="Y99" s="12" t="n">
        <x:v>5616582257.361333</x:v>
      </x:c>
      <x:c r="Z99" s="14" t="n">
        <x:v>-0.004134704399257017</x:v>
      </x:c>
      <x:c r="AA99" s="14" t="n">
        <x:v>-0.17939785626276084</x:v>
      </x:c>
      <x:c r="AB99" s="14" t="n">
        <x:v>-1.4943505689109131</x:v>
      </x:c>
      <x:c r="AC99" s="12" t="n">
        <x:v>1574769.6785133244</x:v>
      </x:c>
      <x:c r="AD99" s="12" t="n">
        <x:v>47071.919738170014</x:v>
      </x:c>
      <x:c r="AE99" s="12" t="n">
        <x:v>11495057.894848468</x:v>
      </x:c>
      <x:c r="AF99" s="12" t="n">
        <x:v>5217303.994092181</x:v>
      </x:c>
      <x:c r="AG99" s="12" t="n">
        <x:v>354288059.44793916</x:v>
      </x:c>
      <x:c r="AH99" s="13" t="n">
        <x:v>55200</x:v>
      </x:c>
      <x:c r="AI99" s="13" t="n">
        <x:v>3300</x:v>
      </x:c>
      <x:c r="AJ99" s="13" t="n">
        <x:v>15110000</x:v>
      </x:c>
      <x:c r="AK99" s="12" t="n">
        <x:v>50159000000</x:v>
      </x:c>
      <x:c r="AL99" s="14" t="n">
        <x:v>0.18089619337783003</x:v>
      </x:c>
      <x:c r="AM99" s="13" t="n">
        <x:v>0</x:v>
      </x:c>
      <x:c r="AN99" s="13" t="n">
        <x:v>0</x:v>
      </x:c>
      <x:c r="AO99" s="14"/>
      <x:c r="AP99" s="10" t="str">
        <x:v>Unverified</x:v>
      </x:c>
      <x:c r="AQ99" s="10" t="str">
        <x:v>Proxy fallback; no issuer facilities in governed match file</x:v>
      </x:c>
      <x:c r="AR99" s="14"/>
      <x:c r="AS99" s="14" t="n">
        <x:v>7.43690764334572</x:v>
      </x:c>
      <x:c r="AT99" s="14" t="n">
        <x:v>0</x:v>
      </x:c>
      <x:c r="AU99" s="14" t="n">
        <x:v>9.468635607765986</x:v>
      </x:c>
      <x:c r="AV99" s="14" t="n">
        <x:v>2.5</x:v>
      </x:c>
      <x:c r="AW99" s="10" t="n">
        <x:v>0.75</x:v>
      </x:c>
      <x:c r="AX99" s="10" t="n">
        <x:v>0.5</x:v>
      </x:c>
      <x:c r="AY99" s="10" t="n">
        <x:v>0.5</x:v>
      </x:c>
      <x:c r="AZ99" s="10" t="n">
        <x:v>0.02</x:v>
      </x:c>
      <x:c r="BA99" s="10" t="n">
        <x:v>0.03</x:v>
      </x:c>
      <x:c r="BB99" s="10" t="n">
        <x:v>0.1</x:v>
      </x:c>
      <x:c r="BC99" s="10" t="n">
        <x:v>0.5</x:v>
      </x:c>
      <x:c r="BD99" s="10" t="n">
        <x:v>0.1</x:v>
      </x:c>
      <x:c r="BE99" s="10" t="n">
        <x:v>0.25</x:v>
      </x:c>
      <x:c r="BF99" s="10" t="n">
        <x:v>1.15</x:v>
      </x:c>
      <x:c r="BG99" s="10" t="n">
        <x:v>0.6</x:v>
      </x:c>
      <x:c r="BH99" s="10" t="n">
        <x:v>0.6140542867906926</x:v>
      </x:c>
      <x:c r="BI99" s="10" t="str">
        <x:v>Common scenario elasticity + issuer SEC CapEx/CFO dependency scale</x:v>
      </x:c>
      <x:c r="BJ99" s="10" t="str">
        <x:v>Modeled estimate using observed inputs + disclosed assumptions</x:v>
      </x:c>
      <x:c r="BK99" s="11" t="b">
        <x:v>0</x:v>
      </x:c>
      <x:c r="BL99" s="11" t="b">
        <x:v>0</x:v>
      </x:c>
      <x:c r="BM99" s="11" t="b">
        <x:v>0</x:v>
      </x:c>
      <x:c r="BN99" s="10" t="str">
        <x:v>Conditional scenario sensitivity; not a forecast or probability</x:v>
      </x:c>
      <x:c r="BO99" s="14" t="n">
        <x:v>101.70651648172316</x:v>
      </x:c>
    </x:row>
    <x:row r="100" ht="18" customHeight="1">
      <x:c r="A100" s="10" t="str">
        <x:v>AAPL</x:v>
      </x:c>
      <x:c r="B100" s="10" t="str">
        <x:v>Technology</x:v>
      </x:c>
      <x:c r="C100" s="10" t="str">
        <x:v>fragmented_vs_baseline</x:v>
      </x:c>
      <x:c r="D100" s="10" t="str">
        <x:v>Fragmented World vs baseline</x:v>
      </x:c>
      <x:c r="E100" s="10" t="str">
        <x:v>Fragmented vs baseline</x:v>
      </x:c>
      <x:c r="F100" s="10" t="str">
        <x:v>fragmented_world</x:v>
      </x:c>
      <x:c r="G100" s="10" t="str">
        <x:v>baseline</x:v>
      </x:c>
      <x:c r="H100" s="10" t="n">
        <x:v>2050</x:v>
      </x:c>
      <x:c r="I100" s="10" t="str">
        <x:v>high</x:v>
      </x:c>
      <x:c r="J100" s="11" t="b">
        <x:v>1</x:v>
      </x:c>
      <x:c r="K100" s="10" t="str">
        <x:v>CFP-2026-003-R17-20260804T234500Z</x:v>
      </x:c>
      <x:c r="L10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0" s="14" t="n">
        <x:v>-3.0787512546761375</x:v>
      </x:c>
      <x:c r="N100" s="12" t="n">
        <x:v>1511832209193.6655</x:v>
      </x:c>
      <x:c r="O100" s="12" t="n">
        <x:v>1465286656084.5176</x:v>
      </x:c>
      <x:c r="P100" s="12" t="n">
        <x:v>190556654157.15817</x:v>
      </x:c>
      <x:c r="Q100" s="12" t="n">
        <x:v>179993374149.58694</x:v>
      </x:c>
      <x:c r="R100" s="12" t="n">
        <x:v>-10563280007.571228</x:v>
      </x:c>
      <x:c r="S100" s="12" t="n">
        <x:v>102784466009.31221</x:v>
      </x:c>
      <x:c r="T100" s="14" t="n">
        <x:v>0.03081870014625017</x:v>
      </x:c>
      <x:c r="U100" s="14" t="n">
        <x:v>0.6001272953916846</x:v>
      </x:c>
      <x:c r="V100" s="14" t="n">
        <x:v>4.912434294325541</x:v>
      </x:c>
      <x:c r="W100" s="12" t="n">
        <x:v>58727083.85342154</x:v>
      </x:c>
      <x:c r="X100" s="12" t="n">
        <x:v>1143582494.7822397</x:v>
      </x:c>
      <x:c r="Y100" s="12" t="n">
        <x:v>9360970428.935555</x:v>
      </x:c>
      <x:c r="Z100" s="14" t="n">
        <x:v>-0.016267099467375163</x:v>
      </x:c>
      <x:c r="AA100" s="14" t="n">
        <x:v>-0.5718998736906038</x:v>
      </x:c>
      <x:c r="AB100" s="14" t="n">
        <x:v>-2.4905842815181582</x:v>
      </x:c>
      <x:c r="AC100" s="12" t="n">
        <x:v>4896325.988307773</x:v>
      </x:c>
      <x:c r="AD100" s="12" t="n">
        <x:v>219536.355454017</x:v>
      </x:c>
      <x:c r="AE100" s="12" t="n">
        <x:v>53611221.50965975</x:v>
      </x:c>
      <x:c r="AF100" s="12" t="n">
        <x:v>9860704.548834221</x:v>
      </x:c>
      <x:c r="AG100" s="12" t="n">
        <x:v>1133721790.2334054</x:v>
      </x:c>
      <x:c r="AH100" s="13" t="n">
        <x:v>55200</x:v>
      </x:c>
      <x:c r="AI100" s="13" t="n">
        <x:v>3300</x:v>
      </x:c>
      <x:c r="AJ100" s="13" t="n">
        <x:v>15110000</x:v>
      </x:c>
      <x:c r="AK100" s="12" t="n">
        <x:v>50159000000</x:v>
      </x:c>
      <x:c r="AL100" s="14" t="n">
        <x:v>0.18089619337783003</x:v>
      </x:c>
      <x:c r="AM100" s="13" t="n">
        <x:v>0</x:v>
      </x:c>
      <x:c r="AN100" s="13" t="n">
        <x:v>0</x:v>
      </x:c>
      <x:c r="AO100" s="14"/>
      <x:c r="AP100" s="10" t="str">
        <x:v>Unverified</x:v>
      </x:c>
      <x:c r="AQ100" s="10" t="str">
        <x:v>Proxy fallback; no issuer facilities in governed match file</x:v>
      </x:c>
      <x:c r="AR100" s="14"/>
      <x:c r="AS100" s="14" t="n">
        <x:v>7.43690764334572</x:v>
      </x:c>
      <x:c r="AT100" s="14" t="n">
        <x:v>0</x:v>
      </x:c>
      <x:c r="AU100" s="14" t="n">
        <x:v>9.468635607765986</x:v>
      </x:c>
      <x:c r="AV100" s="14" t="n">
        <x:v>2.5</x:v>
      </x:c>
      <x:c r="AW100" s="10" t="n">
        <x:v>1</x:v>
      </x:c>
      <x:c r="AX100" s="10" t="n">
        <x:v>0.3</x:v>
      </x:c>
      <x:c r="AY100" s="10" t="n">
        <x:v>0.75</x:v>
      </x:c>
      <x:c r="AZ100" s="10" t="n">
        <x:v>0.04</x:v>
      </x:c>
      <x:c r="BA100" s="10" t="n">
        <x:v>0.01</x:v>
      </x:c>
      <x:c r="BB100" s="10" t="n">
        <x:v>0.135</x:v>
      </x:c>
      <x:c r="BC100" s="10" t="n">
        <x:v>0.3</x:v>
      </x:c>
      <x:c r="BD100" s="10" t="n">
        <x:v>0.2</x:v>
      </x:c>
      <x:c r="BE100" s="10" t="n">
        <x:v>0.4</x:v>
      </x:c>
      <x:c r="BF100" s="10" t="n">
        <x:v>1.15</x:v>
      </x:c>
      <x:c r="BG100" s="10" t="n">
        <x:v>1</x:v>
      </x:c>
      <x:c r="BH100" s="10" t="n">
        <x:v>0.6140542867906926</x:v>
      </x:c>
      <x:c r="BI100" s="10" t="str">
        <x:v>Common scenario elasticity + issuer SEC CapEx/CFO dependency scale</x:v>
      </x:c>
      <x:c r="BJ100" s="10" t="str">
        <x:v>Modeled estimate using observed inputs + disclosed assumptions</x:v>
      </x:c>
      <x:c r="BK100" s="11" t="b">
        <x:v>0</x:v>
      </x:c>
      <x:c r="BL100" s="11" t="b">
        <x:v>0</x:v>
      </x:c>
      <x:c r="BM100" s="11" t="b">
        <x:v>0</x:v>
      </x:c>
      <x:c r="BN100" s="10" t="str">
        <x:v>Conditional scenario sensitivity; not a forecast or probability</x:v>
      </x:c>
      <x:c r="BO100" s="14" t="n">
        <x:v>103.17654930629922</x:v>
      </x:c>
    </x:row>
    <x:row r="101" ht="18" customHeight="1">
      <x:c r="A101" s="10" t="str">
        <x:v>CAT</x:v>
      </x:c>
      <x:c r="B101" s="10" t="str">
        <x:v>Industrials</x:v>
      </x:c>
      <x:c r="C101" s="10" t="str">
        <x:v>fragmented_vs_baseline</x:v>
      </x:c>
      <x:c r="D101" s="10" t="str">
        <x:v>Fragmented World vs baseline</x:v>
      </x:c>
      <x:c r="E101" s="10" t="str">
        <x:v>Fragmented vs baseline</x:v>
      </x:c>
      <x:c r="F101" s="10" t="str">
        <x:v>fragmented_world</x:v>
      </x:c>
      <x:c r="G101" s="10" t="str">
        <x:v>baseline</x:v>
      </x:c>
      <x:c r="H101" s="10" t="n">
        <x:v>2050</x:v>
      </x:c>
      <x:c r="I101" s="10" t="str">
        <x:v>low</x:v>
      </x:c>
      <x:c r="J101" s="11" t="b">
        <x:v>1</x:v>
      </x:c>
      <x:c r="K101" s="10" t="str">
        <x:v>CFP-2026-003-R17-20260804T234500Z</x:v>
      </x:c>
      <x:c r="L10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1" s="14" t="n">
        <x:v>-1.1016301957305408</x:v>
      </x:c>
      <x:c r="N101" s="12" t="n">
        <x:v>121641418108.2752</x:v>
      </x:c>
      <x:c r="O101" s="12" t="n">
        <x:v>120301379515.87961</x:v>
      </x:c>
      <x:c r="P101" s="12" t="n">
        <x:v>18326479866.126686</x:v>
      </x:c>
      <x:c r="Q101" s="12" t="n">
        <x:v>17892740461.82903</x:v>
      </x:c>
      <x:c r="R101" s="12" t="n">
        <x:v>-433739404.297657</x:v>
      </x:c>
      <x:c r="S101" s="12" t="n">
        <x:v>10636693843.707409</x:v>
      </x:c>
      <x:c r="T101" s="14" t="n">
        <x:v>0.23274421940933623</x:v>
      </x:c>
      <x:c r="U101" s="14" t="n">
        <x:v>0.06112360595200031</x:v>
      </x:c>
      <x:c r="V101" s="14" t="n">
        <x:v>2.072868217054263</x:v>
      </x:c>
      <x:c r="W101" s="12" t="n">
        <x:v>42653822.509625725</x:v>
      </x:c>
      <x:c r="X101" s="12" t="n">
        <x:v>11201805.33824395</x:v>
      </x:c>
      <x:c r="Y101" s="12" t="n">
        <x:v>379883776.44978875</x:v>
      </x:c>
      <x:c r="Z101" s="14" t="n">
        <x:v>-0.14153782368173484</x:v>
      </x:c>
      <x:c r="AA101" s="14" t="n">
        <x:v>-0.055772378677943824</x:v>
      </x:c>
      <x:c r="AB101" s="14" t="n">
        <x:v>-0.9043199933708634</x:v>
      </x:c>
      <x:c r="AC101" s="12" t="n">
        <x:v>4609392.023288914</x:v>
      </x:c>
      <x:c r="AD101" s="12" t="n">
        <x:v>1169294.3000254964</x:v>
      </x:c>
      <x:c r="AE101" s="12" t="n">
        <x:v>36875136.18631131</x:v>
      </x:c>
      <x:c r="AF101" s="12" t="n">
        <x:v>979879.973842523</x:v>
      </x:c>
      <x:c r="AG101" s="12" t="n">
        <x:v>10221925.364401428</x:v>
      </x:c>
      <x:c r="AH101" s="13" t="n">
        <x:v>680000</x:v>
      </x:c>
      <x:c r="AI101" s="13" t="n">
        <x:v>690000</x:v>
      </x:c>
      <x:c r="AJ101" s="13" t="n">
        <x:v>680000000</x:v>
      </x:c>
      <x:c r="AK101" s="12" t="n">
        <x:v>15140000000</x:v>
      </x:c>
      <x:c r="AL101" s="14" t="n">
        <x:v>0.1250652491518801</x:v>
      </x:c>
      <x:c r="AM101" s="13" t="n">
        <x:v>7</x:v>
      </x:c>
      <x:c r="AN101" s="13" t="n">
        <x:v>7</x:v>
      </x:c>
      <x:c r="AO101" s="14" t="n">
        <x:v>100</x:v>
      </x:c>
      <x:c r="AP101" s="10" t="str">
        <x:v>High</x:v>
      </x:c>
      <x:c r="AQ101" s="10" t="str">
        <x:v>Issuer facility-to-FEMA county match</x:v>
      </x:c>
      <x:c r="AR101" s="14" t="n">
        <x:v>0.1250652491518801</x:v>
      </x:c>
      <x:c r="AS101" s="14" t="n">
        <x:v>7.43690764334572</x:v>
      </x:c>
      <x:c r="AT101" s="14" t="n">
        <x:v>0</x:v>
      </x:c>
      <x:c r="AU101" s="14" t="n">
        <x:v>11.136677389433892</x:v>
      </x:c>
      <x:c r="AV101" s="14" t="n">
        <x:v>2.1999999999999997</x:v>
      </x:c>
      <x:c r="AW101" s="10" t="n">
        <x:v>0.5</x:v>
      </x:c>
      <x:c r="AX101" s="10" t="n">
        <x:v>0.7</x:v>
      </x:c>
      <x:c r="AY101" s="10" t="n">
        <x:v>0.25</x:v>
      </x:c>
      <x:c r="AZ101" s="10" t="n">
        <x:v>0.004</x:v>
      </x:c>
      <x:c r="BA101" s="10" t="n">
        <x:v>0.05</x:v>
      </x:c>
      <x:c r="BB101" s="10" t="n">
        <x:v>0.15</x:v>
      </x:c>
      <x:c r="BC101" s="10" t="n">
        <x:v>0.7</x:v>
      </x:c>
      <x:c r="BD101" s="10" t="n">
        <x:v>0.05</x:v>
      </x:c>
      <x:c r="BE101" s="10" t="n">
        <x:v>0.15</x:v>
      </x:c>
      <x:c r="BF101" s="10" t="n">
        <x:v>1.15</x:v>
      </x:c>
      <x:c r="BG101" s="10" t="n">
        <x:v>0.35</x:v>
      </x:c>
      <x:c r="BH101" s="10" t="n">
        <x:v>0.7403100775193798</x:v>
      </x:c>
      <x:c r="BI101" s="10" t="str">
        <x:v>Common scenario elasticity + issuer SEC CapEx/CFO dependency scale</x:v>
      </x:c>
      <x:c r="BJ101" s="10" t="str">
        <x:v>Modeled estimate using observed inputs + disclosed assumptions</x:v>
      </x:c>
      <x:c r="BK101" s="11" t="b">
        <x:v>0</x:v>
      </x:c>
      <x:c r="BL101" s="11" t="b">
        <x:v>0</x:v>
      </x:c>
      <x:c r="BM101" s="11" t="b">
        <x:v>0</x:v>
      </x:c>
      <x:c r="BN101" s="10" t="str">
        <x:v>Conditional scenario sensitivity; not a forecast or probability</x:v>
      </x:c>
      <x:c r="BO101" s="14" t="n">
        <x:v>101.11390126845446</x:v>
      </x:c>
    </x:row>
    <x:row r="102" ht="18" customHeight="1">
      <x:c r="A102" s="10" t="str">
        <x:v>CAT</x:v>
      </x:c>
      <x:c r="B102" s="10" t="str">
        <x:v>Industrials</x:v>
      </x:c>
      <x:c r="C102" s="10" t="str">
        <x:v>fragmented_vs_baseline</x:v>
      </x:c>
      <x:c r="D102" s="10" t="str">
        <x:v>Fragmented World vs baseline</x:v>
      </x:c>
      <x:c r="E102" s="10" t="str">
        <x:v>Fragmented vs baseline</x:v>
      </x:c>
      <x:c r="F102" s="10" t="str">
        <x:v>fragmented_world</x:v>
      </x:c>
      <x:c r="G102" s="10" t="str">
        <x:v>baseline</x:v>
      </x:c>
      <x:c r="H102" s="10" t="n">
        <x:v>2050</x:v>
      </x:c>
      <x:c r="I102" s="10" t="str">
        <x:v>base</x:v>
      </x:c>
      <x:c r="J102" s="11" t="b">
        <x:v>1</x:v>
      </x:c>
      <x:c r="K102" s="10" t="str">
        <x:v>CFP-2026-003-R17-20260804T234500Z</x:v>
      </x:c>
      <x:c r="L10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2" s="14" t="n">
        <x:v>-2.3943903310461367</x:v>
      </x:c>
      <x:c r="N102" s="12" t="n">
        <x:v>121641418108.2752</x:v>
      </x:c>
      <x:c r="O102" s="12" t="n">
        <x:v>118728847754.54326</x:v>
      </x:c>
      <x:c r="P102" s="12" t="n">
        <x:v>18326479866.126686</x:v>
      </x:c>
      <x:c r="Q102" s="12" t="n">
        <x:v>17402287657.32235</x:v>
      </x:c>
      <x:c r="R102" s="12" t="n">
        <x:v>-924192208.8043365</x:v>
      </x:c>
      <x:c r="S102" s="12" t="n">
        <x:v>10636693843.707409</x:v>
      </x:c>
      <x:c r="T102" s="14" t="n">
        <x:v>1.2886703071648746</x:v>
      </x:c>
      <x:c r="U102" s="14" t="n">
        <x:v>0.20077490949171914</x:v>
      </x:c>
      <x:c r="V102" s="14" t="n">
        <x:v>3.553488372093023</x:v>
      </x:c>
      <x:c r="W102" s="12" t="n">
        <x:v>236167904.38332367</x:v>
      </x:c>
      <x:c r="X102" s="12" t="n">
        <x:v>36794973.364233986</x:v>
      </x:c>
      <x:c r="Y102" s="12" t="n">
        <x:v>651229331.0567808</x:v>
      </x:c>
      <x:c r="Z102" s="14" t="n">
        <x:v>-0.6597876119140336</x:v>
      </x:c>
      <x:c r="AA102" s="14" t="n">
        <x:v>-0.18433987335349242</x:v>
      </x:c>
      <x:c r="AB102" s="14" t="n">
        <x:v>-1.550262845778613</x:v>
      </x:c>
      <x:c r="AC102" s="12" t="n">
        <x:v>19399336.619367037</x:v>
      </x:c>
      <x:c r="AD102" s="12" t="n">
        <x:v>9842310.490708275</x:v>
      </x:c>
      <x:c r="AE102" s="12" t="n">
        <x:v>206926257.27324834</x:v>
      </x:c>
      <x:c r="AF102" s="12" t="n">
        <x:v>2721888.8162292303</x:v>
      </x:c>
      <x:c r="AG102" s="12" t="n">
        <x:v>34073084.548004754</x:v>
      </x:c>
      <x:c r="AH102" s="13" t="n">
        <x:v>680000</x:v>
      </x:c>
      <x:c r="AI102" s="13" t="n">
        <x:v>690000</x:v>
      </x:c>
      <x:c r="AJ102" s="13" t="n">
        <x:v>680000000</x:v>
      </x:c>
      <x:c r="AK102" s="12" t="n">
        <x:v>15140000000</x:v>
      </x:c>
      <x:c r="AL102" s="14" t="n">
        <x:v>0.1250652491518801</x:v>
      </x:c>
      <x:c r="AM102" s="13" t="n">
        <x:v>7</x:v>
      </x:c>
      <x:c r="AN102" s="13" t="n">
        <x:v>7</x:v>
      </x:c>
      <x:c r="AO102" s="14" t="n">
        <x:v>100</x:v>
      </x:c>
      <x:c r="AP102" s="10" t="str">
        <x:v>High</x:v>
      </x:c>
      <x:c r="AQ102" s="10" t="str">
        <x:v>Issuer facility-to-FEMA county match</x:v>
      </x:c>
      <x:c r="AR102" s="14" t="n">
        <x:v>0.1250652491518801</x:v>
      </x:c>
      <x:c r="AS102" s="14" t="n">
        <x:v>7.43690764334572</x:v>
      </x:c>
      <x:c r="AT102" s="14" t="n">
        <x:v>0</x:v>
      </x:c>
      <x:c r="AU102" s="14" t="n">
        <x:v>11.136677389433892</x:v>
      </x:c>
      <x:c r="AV102" s="14" t="n">
        <x:v>2.1999999999999997</x:v>
      </x:c>
      <x:c r="AW102" s="10" t="n">
        <x:v>0.75</x:v>
      </x:c>
      <x:c r="AX102" s="10" t="n">
        <x:v>0.5</x:v>
      </x:c>
      <x:c r="AY102" s="10" t="n">
        <x:v>0.5</x:v>
      </x:c>
      <x:c r="AZ102" s="10" t="n">
        <x:v>0.008</x:v>
      </x:c>
      <x:c r="BA102" s="10" t="n">
        <x:v>0.03</x:v>
      </x:c>
      <x:c r="BB102" s="10" t="n">
        <x:v>0.25</x:v>
      </x:c>
      <x:c r="BC102" s="10" t="n">
        <x:v>0.5</x:v>
      </x:c>
      <x:c r="BD102" s="10" t="n">
        <x:v>0.1</x:v>
      </x:c>
      <x:c r="BE102" s="10" t="n">
        <x:v>0.25</x:v>
      </x:c>
      <x:c r="BF102" s="10" t="n">
        <x:v>1.15</x:v>
      </x:c>
      <x:c r="BG102" s="10" t="n">
        <x:v>0.6</x:v>
      </x:c>
      <x:c r="BH102" s="10" t="n">
        <x:v>0.7403100775193798</x:v>
      </x:c>
      <x:c r="BI102" s="10" t="str">
        <x:v>Common scenario elasticity + issuer SEC CapEx/CFO dependency scale</x:v>
      </x:c>
      <x:c r="BJ102" s="10" t="str">
        <x:v>Modeled estimate using observed inputs + disclosed assumptions</x:v>
      </x:c>
      <x:c r="BK102" s="11" t="b">
        <x:v>0</x:v>
      </x:c>
      <x:c r="BL102" s="11" t="b">
        <x:v>0</x:v>
      </x:c>
      <x:c r="BM102" s="11" t="b">
        <x:v>0</x:v>
      </x:c>
      <x:c r="BN102" s="10" t="str">
        <x:v>Conditional scenario sensitivity; not a forecast or probability</x:v>
      </x:c>
      <x:c r="BO102" s="14" t="n">
        <x:v>102.4531277855516</x:v>
      </x:c>
    </x:row>
    <x:row r="103" ht="18" customHeight="1">
      <x:c r="A103" s="10" t="str">
        <x:v>CAT</x:v>
      </x:c>
      <x:c r="B103" s="10" t="str">
        <x:v>Industrials</x:v>
      </x:c>
      <x:c r="C103" s="10" t="str">
        <x:v>fragmented_vs_baseline</x:v>
      </x:c>
      <x:c r="D103" s="10" t="str">
        <x:v>Fragmented World vs baseline</x:v>
      </x:c>
      <x:c r="E103" s="10" t="str">
        <x:v>Fragmented vs baseline</x:v>
      </x:c>
      <x:c r="F103" s="10" t="str">
        <x:v>fragmented_world</x:v>
      </x:c>
      <x:c r="G103" s="10" t="str">
        <x:v>baseline</x:v>
      </x:c>
      <x:c r="H103" s="10" t="n">
        <x:v>2050</x:v>
      </x:c>
      <x:c r="I103" s="10" t="str">
        <x:v>high</x:v>
      </x:c>
      <x:c r="J103" s="11" t="b">
        <x:v>1</x:v>
      </x:c>
      <x:c r="K103" s="10" t="str">
        <x:v>CFP-2026-003-R17-20260804T234500Z</x:v>
      </x:c>
      <x:c r="L10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3" s="14" t="n">
        <x:v>-5.734385623443005</x:v>
      </x:c>
      <x:c r="N103" s="12" t="n">
        <x:v>121641418108.2752</x:v>
      </x:c>
      <x:c r="O103" s="12" t="n">
        <x:v>114666030116.12207</x:v>
      </x:c>
      <x:c r="P103" s="12" t="n">
        <x:v>18326479866.126686</x:v>
      </x:c>
      <x:c r="Q103" s="12" t="n">
        <x:v>16055626343.445705</x:v>
      </x:c>
      <x:c r="R103" s="12" t="n">
        <x:v>-2270853522.6809807</x:v>
      </x:c>
      <x:c r="S103" s="12" t="n">
        <x:v>10636693843.707409</x:v>
      </x:c>
      <x:c r="T103" s="14" t="n">
        <x:v>5.845601946813706</x:v>
      </x:c>
      <x:c r="U103" s="14" t="n">
        <x:v>0.6230233042589216</x:v>
      </x:c>
      <x:c r="V103" s="14" t="n">
        <x:v>5.922480620155039</x:v>
      </x:c>
      <x:c r="W103" s="12" t="n">
        <x:v>1071293063.8367234</x:v>
      </x:c>
      <x:c r="X103" s="12" t="n">
        <x:v>114178240.41628847</x:v>
      </x:c>
      <x:c r="Y103" s="12" t="n">
        <x:v>1085382218.427968</x:v>
      </x:c>
      <x:c r="Z103" s="14" t="n">
        <x:v>-2.570997383084343</x:v>
      </x:c>
      <x:c r="AA103" s="14" t="n">
        <x:v>-0.579616830727601</x:v>
      </x:c>
      <x:c r="AB103" s="14" t="n">
        <x:v>-2.583771409631067</x:v>
      </x:c>
      <x:c r="AC103" s="12" t="n">
        <x:v>60317059.27625518</x:v>
      </x:c>
      <x:c r="AD103" s="12" t="n">
        <x:v>45903056.14038538</x:v>
      </x:c>
      <x:c r="AE103" s="12" t="n">
        <x:v>965072948.4200829</x:v>
      </x:c>
      <x:c r="AF103" s="12" t="n">
        <x:v>5144369.862673244</x:v>
      </x:c>
      <x:c r="AG103" s="12" t="n">
        <x:v>109033870.55361523</x:v>
      </x:c>
      <x:c r="AH103" s="13" t="n">
        <x:v>680000</x:v>
      </x:c>
      <x:c r="AI103" s="13" t="n">
        <x:v>690000</x:v>
      </x:c>
      <x:c r="AJ103" s="13" t="n">
        <x:v>680000000</x:v>
      </x:c>
      <x:c r="AK103" s="12" t="n">
        <x:v>15140000000</x:v>
      </x:c>
      <x:c r="AL103" s="14" t="n">
        <x:v>0.1250652491518801</x:v>
      </x:c>
      <x:c r="AM103" s="13" t="n">
        <x:v>7</x:v>
      </x:c>
      <x:c r="AN103" s="13" t="n">
        <x:v>7</x:v>
      </x:c>
      <x:c r="AO103" s="14" t="n">
        <x:v>100</x:v>
      </x:c>
      <x:c r="AP103" s="10" t="str">
        <x:v>High</x:v>
      </x:c>
      <x:c r="AQ103" s="10" t="str">
        <x:v>Issuer facility-to-FEMA county match</x:v>
      </x:c>
      <x:c r="AR103" s="14" t="n">
        <x:v>0.1250652491518801</x:v>
      </x:c>
      <x:c r="AS103" s="14" t="n">
        <x:v>7.43690764334572</x:v>
      </x:c>
      <x:c r="AT103" s="14" t="n">
        <x:v>0</x:v>
      </x:c>
      <x:c r="AU103" s="14" t="n">
        <x:v>11.136677389433892</x:v>
      </x:c>
      <x:c r="AV103" s="14" t="n">
        <x:v>2.1999999999999997</x:v>
      </x:c>
      <x:c r="AW103" s="10" t="n">
        <x:v>1</x:v>
      </x:c>
      <x:c r="AX103" s="10" t="n">
        <x:v>0.3</x:v>
      </x:c>
      <x:c r="AY103" s="10" t="n">
        <x:v>0.75</x:v>
      </x:c>
      <x:c r="AZ103" s="10" t="n">
        <x:v>0.016</x:v>
      </x:c>
      <x:c r="BA103" s="10" t="n">
        <x:v>0.01</x:v>
      </x:c>
      <x:c r="BB103" s="10" t="n">
        <x:v>0.3375</x:v>
      </x:c>
      <x:c r="BC103" s="10" t="n">
        <x:v>0.3</x:v>
      </x:c>
      <x:c r="BD103" s="10" t="n">
        <x:v>0.2</x:v>
      </x:c>
      <x:c r="BE103" s="10" t="n">
        <x:v>0.4</x:v>
      </x:c>
      <x:c r="BF103" s="10" t="n">
        <x:v>1.15</x:v>
      </x:c>
      <x:c r="BG103" s="10" t="n">
        <x:v>1</x:v>
      </x:c>
      <x:c r="BH103" s="10" t="n">
        <x:v>0.7403100775193798</x:v>
      </x:c>
      <x:c r="BI103" s="10" t="str">
        <x:v>Common scenario elasticity + issuer SEC CapEx/CFO dependency scale</x:v>
      </x:c>
      <x:c r="BJ103" s="10" t="str">
        <x:v>Modeled estimate using observed inputs + disclosed assumptions</x:v>
      </x:c>
      <x:c r="BK103" s="11" t="b">
        <x:v>0</x:v>
      </x:c>
      <x:c r="BL103" s="11" t="b">
        <x:v>0</x:v>
      </x:c>
      <x:c r="BM103" s="11" t="b">
        <x:v>0</x:v>
      </x:c>
      <x:c r="BN103" s="10" t="str">
        <x:v>Conditional scenario sensitivity; not a forecast or probability</x:v>
      </x:c>
      <x:c r="BO103" s="14" t="n">
        <x:v>106.08322097232212</x:v>
      </x:c>
    </x:row>
    <x:row r="104" ht="18" customHeight="1">
      <x:c r="A104" s="10" t="str">
        <x:v>CVX</x:v>
      </x:c>
      <x:c r="B104" s="10" t="str">
        <x:v>Energy</x:v>
      </x:c>
      <x:c r="C104" s="10" t="str">
        <x:v>fragmented_vs_baseline</x:v>
      </x:c>
      <x:c r="D104" s="10" t="str">
        <x:v>Fragmented World vs baseline</x:v>
      </x:c>
      <x:c r="E104" s="10" t="str">
        <x:v>Fragmented vs baseline</x:v>
      </x:c>
      <x:c r="F104" s="10" t="str">
        <x:v>fragmented_world</x:v>
      </x:c>
      <x:c r="G104" s="10" t="str">
        <x:v>baseline</x:v>
      </x:c>
      <x:c r="H104" s="10" t="n">
        <x:v>2050</x:v>
      </x:c>
      <x:c r="I104" s="10" t="str">
        <x:v>low</x:v>
      </x:c>
      <x:c r="J104" s="11" t="b">
        <x:v>1</x:v>
      </x:c>
      <x:c r="K104" s="10" t="str">
        <x:v>CFP-2026-003-R17-20260804T234500Z</x:v>
      </x:c>
      <x:c r="L10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4" s="14" t="n">
        <x:v>-2.917418730154142</x:v>
      </x:c>
      <x:c r="N104" s="12" t="n">
        <x:v>376652049847.3526</x:v>
      </x:c>
      <x:c r="O104" s="12" t="n">
        <x:v>365663532397.59644</x:v>
      </x:c>
      <x:c r="P104" s="12" t="n">
        <x:v>28339039686.316536</x:v>
      </x:c>
      <x:c r="Q104" s="12" t="n">
        <x:v>27074301457.311447</x:v>
      </x:c>
      <x:c r="R104" s="12" t="n">
        <x:v>-1264738229.0050888</x:v>
      </x:c>
      <x:c r="S104" s="12" t="n">
        <x:v>18142230456.32</x:v>
      </x:c>
      <x:c r="T104" s="14" t="n">
        <x:v>1.3465644411766295</x:v>
      </x:c>
      <x:c r="U104" s="14" t="n">
        <x:v>0.28517460429013003</x:v>
      </x:c>
      <x:c r="V104" s="14" t="n">
        <x:v>2.8311441114941513</x:v>
      </x:c>
      <x:c r="W104" s="12" t="n">
        <x:v>381603431.3868715</x:v>
      </x:c>
      <x:c r="X104" s="12" t="n">
        <x:v>80815744.28507608</x:v>
      </x:c>
      <x:c r="Y104" s="12" t="n">
        <x:v>802319053.3331412</x:v>
      </x:c>
      <x:c r="Z104" s="14" t="n">
        <x:v>-1.0079999534227966</x:v>
      </x:c>
      <x:c r="AA104" s="14" t="n">
        <x:v>-0.20529006397226635</x:v>
      </x:c>
      <x:c r="AB104" s="14" t="n">
        <x:v>-1.7041287127590745</x:v>
      </x:c>
      <x:c r="AC104" s="12" t="n">
        <x:v>366039954.79059017</x:v>
      </x:c>
      <x:c r="AD104" s="12" t="n">
        <x:v>6778517.6813072255</x:v>
      </x:c>
      <x:c r="AE104" s="12" t="n">
        <x:v>8784958.914974164</x:v>
      </x:c>
      <x:c r="AF104" s="12" t="n">
        <x:v>65009132.7214577</x:v>
      </x:c>
      <x:c r="AG104" s="12" t="n">
        <x:v>15806611.563618388</x:v>
      </x:c>
      <x:c r="AH104" s="13" t="n">
        <x:v>54000000</x:v>
      </x:c>
      <x:c r="AI104" s="13" t="n">
        <x:v>4000000</x:v>
      </x:c>
      <x:c r="AJ104" s="13" t="n">
        <x:v>432000000</x:v>
      </x:c>
      <x:c r="AK104" s="12" t="n">
        <x:v>219729000000</x:v>
      </x:c>
      <x:c r="AL104" s="14" t="n">
        <x:v>0.31761728843062803</x:v>
      </x:c>
      <x:c r="AM104" s="13" t="n">
        <x:v>34</x:v>
      </x:c>
      <x:c r="AN104" s="13" t="n">
        <x:v>53</x:v>
      </x:c>
      <x:c r="AO104" s="14" t="n">
        <x:v>64.15094339622641</x:v>
      </x:c>
      <x:c r="AP104" s="10" t="str">
        <x:v>Medium</x:v>
      </x:c>
      <x:c r="AQ104" s="10" t="str">
        <x:v>Issuer facility-to-FEMA county match</x:v>
      </x:c>
      <x:c r="AR104" s="14" t="n">
        <x:v>0.31761728843062803</x:v>
      </x:c>
      <x:c r="AS104" s="14" t="n">
        <x:v>7.43690764334572</x:v>
      </x:c>
      <x:c r="AT104" s="14" t="n">
        <x:v>0</x:v>
      </x:c>
      <x:c r="AU104" s="14" t="n">
        <x:v>6.7034090248596065</x:v>
      </x:c>
      <x:c r="AV104" s="14" t="n">
        <x:v>1.7999999999999998</x:v>
      </x:c>
      <x:c r="AW104" s="10" t="n">
        <x:v>0.5</x:v>
      </x:c>
      <x:c r="AX104" s="10" t="n">
        <x:v>0.7</x:v>
      </x:c>
      <x:c r="AY104" s="10" t="n">
        <x:v>0.25</x:v>
      </x:c>
      <x:c r="AZ104" s="10" t="n">
        <x:v>0.0015</x:v>
      </x:c>
      <x:c r="BA104" s="10" t="n">
        <x:v>0.05</x:v>
      </x:c>
      <x:c r="BB104" s="10" t="n">
        <x:v>0.27</x:v>
      </x:c>
      <x:c r="BC104" s="10" t="n">
        <x:v>0.7</x:v>
      </x:c>
      <x:c r="BD104" s="10" t="n">
        <x:v>0.05</x:v>
      </x:c>
      <x:c r="BE104" s="10" t="n">
        <x:v>0.15</x:v>
      </x:c>
      <x:c r="BF104" s="10" t="n">
        <x:v>1.15</x:v>
      </x:c>
      <x:c r="BG104" s="10" t="n">
        <x:v>0.35</x:v>
      </x:c>
      <x:c r="BH104" s="10" t="n">
        <x:v>1.0111228969621968</x:v>
      </x:c>
      <x:c r="BI104" s="10" t="str">
        <x:v>Common scenario elasticity + issuer SEC CapEx/CFO dependency scale</x:v>
      </x:c>
      <x:c r="BJ104" s="10" t="str">
        <x:v>Modeled estimate using observed inputs + disclosed assumptions</x:v>
      </x:c>
      <x:c r="BK104" s="11" t="b">
        <x:v>0</x:v>
      </x:c>
      <x:c r="BL104" s="11" t="b">
        <x:v>0</x:v>
      </x:c>
      <x:c r="BM104" s="11" t="b">
        <x:v>0</x:v>
      </x:c>
      <x:c r="BN104" s="10" t="str">
        <x:v>Conditional scenario sensitivity; not a forecast or probability</x:v>
      </x:c>
      <x:c r="BO104" s="14" t="n">
        <x:v>103.00508978232152</x:v>
      </x:c>
    </x:row>
    <x:row r="105" ht="18" customHeight="1">
      <x:c r="A105" s="10" t="str">
        <x:v>CVX</x:v>
      </x:c>
      <x:c r="B105" s="10" t="str">
        <x:v>Energy</x:v>
      </x:c>
      <x:c r="C105" s="10" t="str">
        <x:v>fragmented_vs_baseline</x:v>
      </x:c>
      <x:c r="D105" s="10" t="str">
        <x:v>Fragmented World vs baseline</x:v>
      </x:c>
      <x:c r="E105" s="10" t="str">
        <x:v>Fragmented vs baseline</x:v>
      </x:c>
      <x:c r="F105" s="10" t="str">
        <x:v>fragmented_world</x:v>
      </x:c>
      <x:c r="G105" s="10" t="str">
        <x:v>baseline</x:v>
      </x:c>
      <x:c r="H105" s="10" t="n">
        <x:v>2050</x:v>
      </x:c>
      <x:c r="I105" s="10" t="str">
        <x:v>base</x:v>
      </x:c>
      <x:c r="J105" s="11" t="b">
        <x:v>1</x:v>
      </x:c>
      <x:c r="K105" s="10" t="str">
        <x:v>CFP-2026-003-R17-20260804T234500Z</x:v>
      </x:c>
      <x:c r="L10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5" s="14" t="n">
        <x:v>-7.411920785956472</x:v>
      </x:c>
      <x:c r="N105" s="12" t="n">
        <x:v>376652049847.3526</x:v>
      </x:c>
      <x:c r="O105" s="12" t="n">
        <x:v>348734898273.98553</x:v>
      </x:c>
      <x:c r="P105" s="12" t="n">
        <x:v>28339039686.316536</x:v>
      </x:c>
      <x:c r="Q105" s="12" t="n">
        <x:v>25083476400.210518</x:v>
      </x:c>
      <x:c r="R105" s="12" t="n">
        <x:v>-3255563286.106018</x:v>
      </x:c>
      <x:c r="S105" s="12" t="n">
        <x:v>18142230456.32</x:v>
      </x:c>
      <x:c r="T105" s="14" t="n">
        <x:v>5.8113809905656035</x:v>
      </x:c>
      <x:c r="U105" s="14" t="n">
        <x:v>0.8231387937643015</x:v>
      </x:c>
      <x:c r="V105" s="14" t="n">
        <x:v>4.8533899054185445</x:v>
      </x:c>
      <x:c r="W105" s="12" t="n">
        <x:v>1646889565.2394414</x:v>
      </x:c>
      <x:c r="X105" s="12" t="n">
        <x:v>233269629.43833262</x:v>
      </x:c>
      <x:c r="Y105" s="12" t="n">
        <x:v>1375404091.428242</x:v>
      </x:c>
      <x:c r="Z105" s="14" t="n">
        <x:v>-3.8904125612926976</x:v>
      </x:c>
      <x:c r="AA105" s="14" t="n">
        <x:v>-0.6001447170767721</x:v>
      </x:c>
      <x:c r="AB105" s="14" t="n">
        <x:v>-2.921363507587004</x:v>
      </x:c>
      <x:c r="AC105" s="12" t="n">
        <x:v>1540535555.067382</x:v>
      </x:c>
      <x:c r="AD105" s="12" t="n">
        <x:v>57056872.40990305</x:v>
      </x:c>
      <x:c r="AE105" s="12" t="n">
        <x:v>49297137.76215623</x:v>
      </x:c>
      <x:c r="AF105" s="12" t="n">
        <x:v>180580924.22627133</x:v>
      </x:c>
      <x:c r="AG105" s="12" t="n">
        <x:v>52688705.21206129</x:v>
      </x:c>
      <x:c r="AH105" s="13" t="n">
        <x:v>54000000</x:v>
      </x:c>
      <x:c r="AI105" s="13" t="n">
        <x:v>4000000</x:v>
      </x:c>
      <x:c r="AJ105" s="13" t="n">
        <x:v>432000000</x:v>
      </x:c>
      <x:c r="AK105" s="12" t="n">
        <x:v>219729000000</x:v>
      </x:c>
      <x:c r="AL105" s="14" t="n">
        <x:v>0.31761728843062803</x:v>
      </x:c>
      <x:c r="AM105" s="13" t="n">
        <x:v>34</x:v>
      </x:c>
      <x:c r="AN105" s="13" t="n">
        <x:v>53</x:v>
      </x:c>
      <x:c r="AO105" s="14" t="n">
        <x:v>64.15094339622641</x:v>
      </x:c>
      <x:c r="AP105" s="10" t="str">
        <x:v>Medium</x:v>
      </x:c>
      <x:c r="AQ105" s="10" t="str">
        <x:v>Issuer facility-to-FEMA county match</x:v>
      </x:c>
      <x:c r="AR105" s="14" t="n">
        <x:v>0.31761728843062803</x:v>
      </x:c>
      <x:c r="AS105" s="14" t="n">
        <x:v>7.43690764334572</x:v>
      </x:c>
      <x:c r="AT105" s="14" t="n">
        <x:v>0</x:v>
      </x:c>
      <x:c r="AU105" s="14" t="n">
        <x:v>6.7034090248596065</x:v>
      </x:c>
      <x:c r="AV105" s="14" t="n">
        <x:v>1.7999999999999998</x:v>
      </x:c>
      <x:c r="AW105" s="10" t="n">
        <x:v>0.75</x:v>
      </x:c>
      <x:c r="AX105" s="10" t="n">
        <x:v>0.5</x:v>
      </x:c>
      <x:c r="AY105" s="10" t="n">
        <x:v>0.5</x:v>
      </x:c>
      <x:c r="AZ105" s="10" t="n">
        <x:v>0.003</x:v>
      </x:c>
      <x:c r="BA105" s="10" t="n">
        <x:v>0.03</x:v>
      </x:c>
      <x:c r="BB105" s="10" t="n">
        <x:v>0.45</x:v>
      </x:c>
      <x:c r="BC105" s="10" t="n">
        <x:v>0.5</x:v>
      </x:c>
      <x:c r="BD105" s="10" t="n">
        <x:v>0.1</x:v>
      </x:c>
      <x:c r="BE105" s="10" t="n">
        <x:v>0.25</x:v>
      </x:c>
      <x:c r="BF105" s="10" t="n">
        <x:v>1.15</x:v>
      </x:c>
      <x:c r="BG105" s="10" t="n">
        <x:v>0.6</x:v>
      </x:c>
      <x:c r="BH105" s="10" t="n">
        <x:v>1.0111228969621968</x:v>
      </x:c>
      <x:c r="BI105" s="10" t="str">
        <x:v>Common scenario elasticity + issuer SEC CapEx/CFO dependency scale</x:v>
      </x:c>
      <x:c r="BJ105" s="10" t="str">
        <x:v>Modeled estimate using observed inputs + disclosed assumptions</x:v>
      </x:c>
      <x:c r="BK105" s="11" t="b">
        <x:v>0</x:v>
      </x:c>
      <x:c r="BL105" s="11" t="b">
        <x:v>0</x:v>
      </x:c>
      <x:c r="BM105" s="11" t="b">
        <x:v>0</x:v>
      </x:c>
      <x:c r="BN105" s="10" t="str">
        <x:v>Conditional scenario sensitivity; not a forecast or probability</x:v>
      </x:c>
      <x:c r="BO105" s="14" t="n">
        <x:v>108.00526466136287</x:v>
      </x:c>
    </x:row>
    <x:row r="106" ht="18" customHeight="1">
      <x:c r="A106" s="10" t="str">
        <x:v>CVX</x:v>
      </x:c>
      <x:c r="B106" s="10" t="str">
        <x:v>Energy</x:v>
      </x:c>
      <x:c r="C106" s="10" t="str">
        <x:v>fragmented_vs_baseline</x:v>
      </x:c>
      <x:c r="D106" s="10" t="str">
        <x:v>Fragmented World vs baseline</x:v>
      </x:c>
      <x:c r="E106" s="10" t="str">
        <x:v>Fragmented vs baseline</x:v>
      </x:c>
      <x:c r="F106" s="10" t="str">
        <x:v>fragmented_world</x:v>
      </x:c>
      <x:c r="G106" s="10" t="str">
        <x:v>baseline</x:v>
      </x:c>
      <x:c r="H106" s="10" t="n">
        <x:v>2050</x:v>
      </x:c>
      <x:c r="I106" s="10" t="str">
        <x:v>high</x:v>
      </x:c>
      <x:c r="J106" s="11" t="b">
        <x:v>1</x:v>
      </x:c>
      <x:c r="K106" s="10" t="str">
        <x:v>CFP-2026-003-R17-20260804T234500Z</x:v>
      </x:c>
      <x:c r="L10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6" s="14" t="n">
        <x:v>-17.60083362307657</x:v>
      </x:c>
      <x:c r="N106" s="12" t="n">
        <x:v>376652049847.3526</x:v>
      </x:c>
      <x:c r="O106" s="12" t="n">
        <x:v>310358149215.8126</x:v>
      </x:c>
      <x:c r="P106" s="12" t="n">
        <x:v>28339039686.316536</x:v>
      </x:c>
      <x:c r="Q106" s="12" t="n">
        <x:v>20250894500.48371</x:v>
      </x:c>
      <x:c r="R106" s="12" t="n">
        <x:v>-8088145185.832825</x:v>
      </x:c>
      <x:c r="S106" s="12" t="n">
        <x:v>18142230456.32</x:v>
      </x:c>
      <x:c r="T106" s="14" t="n">
        <x:v>18.652372446263467</x:v>
      </x:c>
      <x:c r="U106" s="14" t="n">
        <x:v>1.7992910455341022</x:v>
      </x:c>
      <x:c r="V106" s="14" t="n">
        <x:v>8.088983175697576</x:v>
      </x:c>
      <x:c r="W106" s="12" t="n">
        <x:v>5285903229.986175</x:v>
      </x:c>
      <x:c r="X106" s="12" t="n">
        <x:v>509901803.4662489</x:v>
      </x:c>
      <x:c r="Y106" s="12" t="n">
        <x:v>2292340152.3804035</x:v>
      </x:c>
      <x:c r="Z106" s="14" t="n">
        <x:v>-11.362649848994169</x:v>
      </x:c>
      <x:c r="AA106" s="14" t="n">
        <x:v>-1.3692445947707514</x:v>
      </x:c>
      <x:c r="AB106" s="14" t="n">
        <x:v>-4.8689391793116545</x:v>
      </x:c>
      <x:c r="AC106" s="12" t="n">
        <x:v>4789884118.996735</x:v>
      </x:c>
      <x:c r="AD106" s="12" t="n">
        <x:v>266104673.2775964</x:v>
      </x:c>
      <x:c r="AE106" s="12" t="n">
        <x:v>229914437.7118433</x:v>
      </x:c>
      <x:c r="AF106" s="12" t="n">
        <x:v>341297946.7876528</x:v>
      </x:c>
      <x:c r="AG106" s="12" t="n">
        <x:v>168603856.67859614</x:v>
      </x:c>
      <x:c r="AH106" s="13" t="n">
        <x:v>54000000</x:v>
      </x:c>
      <x:c r="AI106" s="13" t="n">
        <x:v>4000000</x:v>
      </x:c>
      <x:c r="AJ106" s="13" t="n">
        <x:v>432000000</x:v>
      </x:c>
      <x:c r="AK106" s="12" t="n">
        <x:v>219729000000</x:v>
      </x:c>
      <x:c r="AL106" s="14" t="n">
        <x:v>0.31761728843062803</x:v>
      </x:c>
      <x:c r="AM106" s="13" t="n">
        <x:v>34</x:v>
      </x:c>
      <x:c r="AN106" s="13" t="n">
        <x:v>53</x:v>
      </x:c>
      <x:c r="AO106" s="14" t="n">
        <x:v>64.15094339622641</x:v>
      </x:c>
      <x:c r="AP106" s="10" t="str">
        <x:v>Medium</x:v>
      </x:c>
      <x:c r="AQ106" s="10" t="str">
        <x:v>Issuer facility-to-FEMA county match</x:v>
      </x:c>
      <x:c r="AR106" s="14" t="n">
        <x:v>0.31761728843062803</x:v>
      </x:c>
      <x:c r="AS106" s="14" t="n">
        <x:v>7.43690764334572</x:v>
      </x:c>
      <x:c r="AT106" s="14" t="n">
        <x:v>0</x:v>
      </x:c>
      <x:c r="AU106" s="14" t="n">
        <x:v>6.7034090248596065</x:v>
      </x:c>
      <x:c r="AV106" s="14" t="n">
        <x:v>1.7999999999999998</x:v>
      </x:c>
      <x:c r="AW106" s="10" t="n">
        <x:v>1</x:v>
      </x:c>
      <x:c r="AX106" s="10" t="n">
        <x:v>0.3</x:v>
      </x:c>
      <x:c r="AY106" s="10" t="n">
        <x:v>0.75</x:v>
      </x:c>
      <x:c r="AZ106" s="10" t="n">
        <x:v>0.006</x:v>
      </x:c>
      <x:c r="BA106" s="10" t="n">
        <x:v>0.01</x:v>
      </x:c>
      <x:c r="BB106" s="10" t="n">
        <x:v>0.6075</x:v>
      </x:c>
      <x:c r="BC106" s="10" t="n">
        <x:v>0.3</x:v>
      </x:c>
      <x:c r="BD106" s="10" t="n">
        <x:v>0.2</x:v>
      </x:c>
      <x:c r="BE106" s="10" t="n">
        <x:v>0.4</x:v>
      </x:c>
      <x:c r="BF106" s="10" t="n">
        <x:v>1.15</x:v>
      </x:c>
      <x:c r="BG106" s="10" t="n">
        <x:v>1</x:v>
      </x:c>
      <x:c r="BH106" s="10" t="n">
        <x:v>1.0111228969621968</x:v>
      </x:c>
      <x:c r="BI106" s="10" t="str">
        <x:v>Common scenario elasticity + issuer SEC CapEx/CFO dependency scale</x:v>
      </x:c>
      <x:c r="BJ106" s="10" t="str">
        <x:v>Modeled estimate using observed inputs + disclosed assumptions</x:v>
      </x:c>
      <x:c r="BK106" s="11" t="b">
        <x:v>0</x:v>
      </x:c>
      <x:c r="BL106" s="11" t="b">
        <x:v>0</x:v>
      </x:c>
      <x:c r="BM106" s="11" t="b">
        <x:v>0</x:v>
      </x:c>
      <x:c r="BN106" s="10" t="str">
        <x:v>Conditional scenario sensitivity; not a forecast or probability</x:v>
      </x:c>
      <x:c r="BO106" s="14" t="n">
        <x:v>121.360451078551</x:v>
      </x:c>
    </x:row>
    <x:row r="107" ht="18" customHeight="1">
      <x:c r="A107" s="10" t="str">
        <x:v>DE</x:v>
      </x:c>
      <x:c r="B107" s="10" t="str">
        <x:v>Industrials</x:v>
      </x:c>
      <x:c r="C107" s="10" t="str">
        <x:v>fragmented_vs_baseline</x:v>
      </x:c>
      <x:c r="D107" s="10" t="str">
        <x:v>Fragmented World vs baseline</x:v>
      </x:c>
      <x:c r="E107" s="10" t="str">
        <x:v>Fragmented vs baseline</x:v>
      </x:c>
      <x:c r="F107" s="10" t="str">
        <x:v>fragmented_world</x:v>
      </x:c>
      <x:c r="G107" s="10" t="str">
        <x:v>baseline</x:v>
      </x:c>
      <x:c r="H107" s="10" t="n">
        <x:v>2050</x:v>
      </x:c>
      <x:c r="I107" s="10" t="str">
        <x:v>low</x:v>
      </x:c>
      <x:c r="J107" s="11" t="b">
        <x:v>1</x:v>
      </x:c>
      <x:c r="K107" s="10" t="str">
        <x:v>CFP-2026-003-R17-20260804T234500Z</x:v>
      </x:c>
      <x:c r="L10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7" s="14" t="n">
        <x:v>-1.1696352050675207</x:v>
      </x:c>
      <x:c r="N107" s="12" t="n">
        <x:v>156035291063.10095</x:v>
      </x:c>
      <x:c r="O107" s="12" t="n">
        <x:v>154210247366.49734</x:v>
      </x:c>
      <x:c r="P107" s="12" t="n">
        <x:v>14871029621.789665</x:v>
      </x:c>
      <x:c r="Q107" s="12" t="n">
        <x:v>14570968725.796885</x:v>
      </x:c>
      <x:c r="R107" s="12" t="n">
        <x:v>-300060895.9927807</x:v>
      </x:c>
      <x:c r="S107" s="12" t="n">
        <x:v>8631149592.456448</x:v>
      </x:c>
      <x:c r="T107" s="14" t="n">
        <x:v>0.04848962009057345</x:v>
      </x:c>
      <x:c r="U107" s="14" t="n">
        <x:v>0.05874085984515087</x:v>
      </x:c>
      <x:c r="V107" s="14" t="n">
        <x:v>1.9105241989542836</x:v>
      </x:c>
      <x:c r="W107" s="12" t="n">
        <x:v>7210905.767162451</x:v>
      </x:c>
      <x:c r="X107" s="12" t="n">
        <x:v>8735370.667666337</x:v>
      </x:c>
      <x:c r="Y107" s="12" t="n">
        <x:v>284114619.5579512</x:v>
      </x:c>
      <x:c r="Z107" s="14" t="n">
        <x:v>-0.03562248531785643</x:v>
      </x:c>
      <x:c r="AA107" s="14" t="n">
        <x:v>-0.05552445775735887</x:v>
      </x:c>
      <x:c r="AB107" s="14" t="n">
        <x:v>-1.0784882619923077</x:v>
      </x:c>
      <x:c r="AC107" s="12" t="n">
        <x:v>2398917.4074146273</x:v>
      </x:c>
      <x:c r="AD107" s="12" t="n">
        <x:v>379596.99015320465</x:v>
      </x:c>
      <x:c r="AE107" s="12" t="n">
        <x:v>4432391.369594619</x:v>
      </x:c>
      <x:c r="AF107" s="12" t="n">
        <x:v>440785.1282632232</x:v>
      </x:c>
      <x:c r="AG107" s="12" t="n">
        <x:v>8294585.539403114</x:v>
      </x:c>
      <x:c r="AH107" s="13" t="n">
        <x:v>353900</x:v>
      </x:c>
      <x:c r="AI107" s="13" t="n">
        <x:v>224000</x:v>
      </x:c>
      <x:c r="AJ107" s="13" t="n">
        <x:v>81736000</x:v>
      </x:c>
      <x:c r="AK107" s="12" t="n">
        <x:v>8079000000</x:v>
      </x:c>
      <x:c r="AL107" s="14" t="n">
        <x:v>0.1054287290454164</x:v>
      </x:c>
      <x:c r="AM107" s="13" t="n">
        <x:v>1</x:v>
      </x:c>
      <x:c r="AN107" s="13" t="n">
        <x:v>1</x:v>
      </x:c>
      <x:c r="AO107" s="14" t="n">
        <x:v>100</x:v>
      </x:c>
      <x:c r="AP107" s="10" t="str">
        <x:v>High</x:v>
      </x:c>
      <x:c r="AQ107" s="10" t="str">
        <x:v>Issuer facility-to-FEMA county match</x:v>
      </x:c>
      <x:c r="AR107" s="14" t="n">
        <x:v>0.1054287290454164</x:v>
      </x:c>
      <x:c r="AS107" s="14" t="n">
        <x:v>7.43690764334572</x:v>
      </x:c>
      <x:c r="AT107" s="14" t="n">
        <x:v>0</x:v>
      </x:c>
      <x:c r="AU107" s="14" t="n">
        <x:v>7.853230639934694</x:v>
      </x:c>
      <x:c r="AV107" s="14" t="n">
        <x:v>2.1999999999999997</x:v>
      </x:c>
      <x:c r="AW107" s="10" t="n">
        <x:v>0.5</x:v>
      </x:c>
      <x:c r="AX107" s="10" t="n">
        <x:v>0.7</x:v>
      </x:c>
      <x:c r="AY107" s="10" t="n">
        <x:v>0.25</x:v>
      </x:c>
      <x:c r="AZ107" s="10" t="n">
        <x:v>0.004</x:v>
      </x:c>
      <x:c r="BA107" s="10" t="n">
        <x:v>0.05</x:v>
      </x:c>
      <x:c r="BB107" s="10" t="n">
        <x:v>0.15</x:v>
      </x:c>
      <x:c r="BC107" s="10" t="n">
        <x:v>0.7</x:v>
      </x:c>
      <x:c r="BD107" s="10" t="n">
        <x:v>0.05</x:v>
      </x:c>
      <x:c r="BE107" s="10" t="n">
        <x:v>0.15</x:v>
      </x:c>
      <x:c r="BF107" s="10" t="n">
        <x:v>1.15</x:v>
      </x:c>
      <x:c r="BG107" s="10" t="n">
        <x:v>0.35</x:v>
      </x:c>
      <x:c r="BH107" s="10" t="n">
        <x:v>0.6823300710551012</x:v>
      </x:c>
      <x:c r="BI107" s="10" t="str">
        <x:v>Common scenario elasticity + issuer SEC CapEx/CFO dependency scale</x:v>
      </x:c>
      <x:c r="BJ107" s="10" t="str">
        <x:v>Modeled estimate using observed inputs + disclosed assumptions</x:v>
      </x:c>
      <x:c r="BK107" s="11" t="b">
        <x:v>0</x:v>
      </x:c>
      <x:c r="BL107" s="11" t="b">
        <x:v>0</x:v>
      </x:c>
      <x:c r="BM107" s="11" t="b">
        <x:v>0</x:v>
      </x:c>
      <x:c r="BN107" s="10" t="str">
        <x:v>Conditional scenario sensitivity; not a forecast or probability</x:v>
      </x:c>
      <x:c r="BO107" s="14" t="n">
        <x:v>101.18347757543387</x:v>
      </x:c>
    </x:row>
    <x:row r="108" ht="18" customHeight="1">
      <x:c r="A108" s="10" t="str">
        <x:v>DE</x:v>
      </x:c>
      <x:c r="B108" s="10" t="str">
        <x:v>Industrials</x:v>
      </x:c>
      <x:c r="C108" s="10" t="str">
        <x:v>fragmented_vs_baseline</x:v>
      </x:c>
      <x:c r="D108" s="10" t="str">
        <x:v>Fragmented World vs baseline</x:v>
      </x:c>
      <x:c r="E108" s="10" t="str">
        <x:v>Fragmented vs baseline</x:v>
      </x:c>
      <x:c r="F108" s="10" t="str">
        <x:v>fragmented_world</x:v>
      </x:c>
      <x:c r="G108" s="10" t="str">
        <x:v>baseline</x:v>
      </x:c>
      <x:c r="H108" s="10" t="n">
        <x:v>2050</x:v>
      </x:c>
      <x:c r="I108" s="10" t="str">
        <x:v>base</x:v>
      </x:c>
      <x:c r="J108" s="11" t="b">
        <x:v>1</x:v>
      </x:c>
      <x:c r="K108" s="10" t="str">
        <x:v>CFP-2026-003-R17-20260804T234500Z</x:v>
      </x:c>
      <x:c r="L10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8" s="14" t="n">
        <x:v>-2.1989032800085906</x:v>
      </x:c>
      <x:c r="N108" s="12" t="n">
        <x:v>156035291063.10095</x:v>
      </x:c>
      <x:c r="O108" s="12" t="n">
        <x:v>152604225929.94348</x:v>
      </x:c>
      <x:c r="P108" s="12" t="n">
        <x:v>14871029621.789665</x:v>
      </x:c>
      <x:c r="Q108" s="12" t="n">
        <x:v>14316939032.110876</x:v>
      </x:c>
      <x:c r="R108" s="12" t="n">
        <x:v>-554090589.6787891</x:v>
      </x:c>
      <x:c r="S108" s="12" t="n">
        <x:v>8631149592.456448</x:v>
      </x:c>
      <x:c r="T108" s="14" t="n">
        <x:v>0.2566327653346339</x:v>
      </x:c>
      <x:c r="U108" s="14" t="n">
        <x:v>0.19415617030602625</x:v>
      </x:c>
      <x:c r="V108" s="14" t="n">
        <x:v>3.2751843410644863</x:v>
      </x:c>
      <x:c r="W108" s="12" t="n">
        <x:v>38163934.55213137</x:v>
      </x:c>
      <x:c r="X108" s="12" t="n">
        <x:v>28873021.598741554</x:v>
      </x:c>
      <x:c r="Y108" s="12" t="n">
        <x:v>487053633.52791643</x:v>
      </x:c>
      <x:c r="Z108" s="14" t="n">
        <x:v>-0.16604341275383083</x:v>
      </x:c>
      <x:c r="AA108" s="14" t="n">
        <x:v>-0.1840228466964784</x:v>
      </x:c>
      <x:c r="AB108" s="14" t="n">
        <x:v>-1.8488370205582767</x:v>
      </x:c>
      <x:c r="AC108" s="12" t="n">
        <x:v>10096213.572932344</x:v>
      </x:c>
      <x:c r="AD108" s="12" t="n">
        <x:v>3195184.8549545705</x:v>
      </x:c>
      <x:c r="AE108" s="12" t="n">
        <x:v>24872536.124244455</x:v>
      </x:c>
      <x:c r="AF108" s="12" t="n">
        <x:v>1224403.1340645086</x:v>
      </x:c>
      <x:c r="AG108" s="12" t="n">
        <x:v>27648618.464677047</x:v>
      </x:c>
      <x:c r="AH108" s="13" t="n">
        <x:v>353900</x:v>
      </x:c>
      <x:c r="AI108" s="13" t="n">
        <x:v>224000</x:v>
      </x:c>
      <x:c r="AJ108" s="13" t="n">
        <x:v>81736000</x:v>
      </x:c>
      <x:c r="AK108" s="12" t="n">
        <x:v>8079000000</x:v>
      </x:c>
      <x:c r="AL108" s="14" t="n">
        <x:v>0.1054287290454164</x:v>
      </x:c>
      <x:c r="AM108" s="13" t="n">
        <x:v>1</x:v>
      </x:c>
      <x:c r="AN108" s="13" t="n">
        <x:v>1</x:v>
      </x:c>
      <x:c r="AO108" s="14" t="n">
        <x:v>100</x:v>
      </x:c>
      <x:c r="AP108" s="10" t="str">
        <x:v>High</x:v>
      </x:c>
      <x:c r="AQ108" s="10" t="str">
        <x:v>Issuer facility-to-FEMA county match</x:v>
      </x:c>
      <x:c r="AR108" s="14" t="n">
        <x:v>0.1054287290454164</x:v>
      </x:c>
      <x:c r="AS108" s="14" t="n">
        <x:v>7.43690764334572</x:v>
      </x:c>
      <x:c r="AT108" s="14" t="n">
        <x:v>0</x:v>
      </x:c>
      <x:c r="AU108" s="14" t="n">
        <x:v>7.853230639934694</x:v>
      </x:c>
      <x:c r="AV108" s="14" t="n">
        <x:v>2.1999999999999997</x:v>
      </x:c>
      <x:c r="AW108" s="10" t="n">
        <x:v>0.75</x:v>
      </x:c>
      <x:c r="AX108" s="10" t="n">
        <x:v>0.5</x:v>
      </x:c>
      <x:c r="AY108" s="10" t="n">
        <x:v>0.5</x:v>
      </x:c>
      <x:c r="AZ108" s="10" t="n">
        <x:v>0.008</x:v>
      </x:c>
      <x:c r="BA108" s="10" t="n">
        <x:v>0.03</x:v>
      </x:c>
      <x:c r="BB108" s="10" t="n">
        <x:v>0.25</x:v>
      </x:c>
      <x:c r="BC108" s="10" t="n">
        <x:v>0.5</x:v>
      </x:c>
      <x:c r="BD108" s="10" t="n">
        <x:v>0.1</x:v>
      </x:c>
      <x:c r="BE108" s="10" t="n">
        <x:v>0.25</x:v>
      </x:c>
      <x:c r="BF108" s="10" t="n">
        <x:v>1.15</x:v>
      </x:c>
      <x:c r="BG108" s="10" t="n">
        <x:v>0.6</x:v>
      </x:c>
      <x:c r="BH108" s="10" t="n">
        <x:v>0.6823300710551012</x:v>
      </x:c>
      <x:c r="BI108" s="10" t="str">
        <x:v>Common scenario elasticity + issuer SEC CapEx/CFO dependency scale</x:v>
      </x:c>
      <x:c r="BJ108" s="10" t="str">
        <x:v>Modeled estimate using observed inputs + disclosed assumptions</x:v>
      </x:c>
      <x:c r="BK108" s="11" t="b">
        <x:v>0</x:v>
      </x:c>
      <x:c r="BL108" s="11" t="b">
        <x:v>0</x:v>
      </x:c>
      <x:c r="BM108" s="11" t="b">
        <x:v>0</x:v>
      </x:c>
      <x:c r="BN108" s="10" t="str">
        <x:v>Conditional scenario sensitivity; not a forecast or probability</x:v>
      </x:c>
      <x:c r="BO108" s="14" t="n">
        <x:v>102.2483421492748</x:v>
      </x:c>
    </x:row>
    <x:row r="109" ht="18" customHeight="1">
      <x:c r="A109" s="10" t="str">
        <x:v>DE</x:v>
      </x:c>
      <x:c r="B109" s="10" t="str">
        <x:v>Industrials</x:v>
      </x:c>
      <x:c r="C109" s="10" t="str">
        <x:v>fragmented_vs_baseline</x:v>
      </x:c>
      <x:c r="D109" s="10" t="str">
        <x:v>Fragmented World vs baseline</x:v>
      </x:c>
      <x:c r="E109" s="10" t="str">
        <x:v>Fragmented vs baseline</x:v>
      </x:c>
      <x:c r="F109" s="10" t="str">
        <x:v>fragmented_world</x:v>
      </x:c>
      <x:c r="G109" s="10" t="str">
        <x:v>baseline</x:v>
      </x:c>
      <x:c r="H109" s="10" t="n">
        <x:v>2050</x:v>
      </x:c>
      <x:c r="I109" s="10" t="str">
        <x:v>high</x:v>
      </x:c>
      <x:c r="J109" s="11" t="b">
        <x:v>1</x:v>
      </x:c>
      <x:c r="K109" s="10" t="str">
        <x:v>CFP-2026-003-R17-20260804T234500Z</x:v>
      </x:c>
      <x:c r="L10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09" s="14" t="n">
        <x:v>-4.296885369098813</x:v>
      </x:c>
      <x:c r="N109" s="12" t="n">
        <x:v>156035291063.10095</x:v>
      </x:c>
      <x:c r="O109" s="12" t="n">
        <x:v>149330633470.77982</x:v>
      </x:c>
      <x:c r="P109" s="12" t="n">
        <x:v>14871029621.789665</x:v>
      </x:c>
      <x:c r="Q109" s="12" t="n">
        <x:v>13806188753.504837</x:v>
      </x:c>
      <x:c r="R109" s="12" t="n">
        <x:v>-1064840868.2848282</x:v>
      </x:c>
      <x:c r="S109" s="12" t="n">
        <x:v>8631149592.456448</x:v>
      </x:c>
      <x:c r="T109" s="14" t="n">
        <x:v>1.0913508716089042</x:v>
      </x:c>
      <x:c r="U109" s="14" t="n">
        <x:v>0.6105138871979621</x:v>
      </x:c>
      <x:c r="V109" s="14" t="n">
        <x:v>5.458640568440811</x:v>
      </x:c>
      <x:c r="W109" s="12" t="n">
        <x:v>162295111.39461982</x:v>
      </x:c>
      <x:c r="X109" s="12" t="n">
        <x:v>90789701.01034848</x:v>
      </x:c>
      <x:c r="Y109" s="12" t="n">
        <x:v>811756055.8798608</x:v>
      </x:c>
      <x:c r="Z109" s="14" t="n">
        <x:v>-0.6335515739133604</x:v>
      </x:c>
      <x:c r="AA109" s="14" t="n">
        <x:v>-0.581938760921664</x:v>
      </x:c>
      <x:c r="AB109" s="14" t="n">
        <x:v>-3.081395034263791</x:v>
      </x:c>
      <x:c r="AC109" s="12" t="n">
        <x:v>31391481.29098046</x:v>
      </x:c>
      <x:c r="AD109" s="12" t="n">
        <x:v>14901861.703545399</x:v>
      </x:c>
      <x:c r="AE109" s="12" t="n">
        <x:v>116001768.40009397</x:v>
      </x:c>
      <x:c r="AF109" s="12" t="n">
        <x:v>2314121.923381921</x:v>
      </x:c>
      <x:c r="AG109" s="12" t="n">
        <x:v>88475579.08696656</x:v>
      </x:c>
      <x:c r="AH109" s="13" t="n">
        <x:v>353900</x:v>
      </x:c>
      <x:c r="AI109" s="13" t="n">
        <x:v>224000</x:v>
      </x:c>
      <x:c r="AJ109" s="13" t="n">
        <x:v>81736000</x:v>
      </x:c>
      <x:c r="AK109" s="12" t="n">
        <x:v>8079000000</x:v>
      </x:c>
      <x:c r="AL109" s="14" t="n">
        <x:v>0.1054287290454164</x:v>
      </x:c>
      <x:c r="AM109" s="13" t="n">
        <x:v>1</x:v>
      </x:c>
      <x:c r="AN109" s="13" t="n">
        <x:v>1</x:v>
      </x:c>
      <x:c r="AO109" s="14" t="n">
        <x:v>100</x:v>
      </x:c>
      <x:c r="AP109" s="10" t="str">
        <x:v>High</x:v>
      </x:c>
      <x:c r="AQ109" s="10" t="str">
        <x:v>Issuer facility-to-FEMA county match</x:v>
      </x:c>
      <x:c r="AR109" s="14" t="n">
        <x:v>0.1054287290454164</x:v>
      </x:c>
      <x:c r="AS109" s="14" t="n">
        <x:v>7.43690764334572</x:v>
      </x:c>
      <x:c r="AT109" s="14" t="n">
        <x:v>0</x:v>
      </x:c>
      <x:c r="AU109" s="14" t="n">
        <x:v>7.853230639934694</x:v>
      </x:c>
      <x:c r="AV109" s="14" t="n">
        <x:v>2.1999999999999997</x:v>
      </x:c>
      <x:c r="AW109" s="10" t="n">
        <x:v>1</x:v>
      </x:c>
      <x:c r="AX109" s="10" t="n">
        <x:v>0.3</x:v>
      </x:c>
      <x:c r="AY109" s="10" t="n">
        <x:v>0.75</x:v>
      </x:c>
      <x:c r="AZ109" s="10" t="n">
        <x:v>0.016</x:v>
      </x:c>
      <x:c r="BA109" s="10" t="n">
        <x:v>0.01</x:v>
      </x:c>
      <x:c r="BB109" s="10" t="n">
        <x:v>0.3375</x:v>
      </x:c>
      <x:c r="BC109" s="10" t="n">
        <x:v>0.3</x:v>
      </x:c>
      <x:c r="BD109" s="10" t="n">
        <x:v>0.2</x:v>
      </x:c>
      <x:c r="BE109" s="10" t="n">
        <x:v>0.4</x:v>
      </x:c>
      <x:c r="BF109" s="10" t="n">
        <x:v>1.15</x:v>
      </x:c>
      <x:c r="BG109" s="10" t="n">
        <x:v>1</x:v>
      </x:c>
      <x:c r="BH109" s="10" t="n">
        <x:v>0.6823300710551012</x:v>
      </x:c>
      <x:c r="BI109" s="10" t="str">
        <x:v>Common scenario elasticity + issuer SEC CapEx/CFO dependency scale</x:v>
      </x:c>
      <x:c r="BJ109" s="10" t="str">
        <x:v>Modeled estimate using observed inputs + disclosed assumptions</x:v>
      </x:c>
      <x:c r="BK109" s="11" t="b">
        <x:v>0</x:v>
      </x:c>
      <x:c r="BL109" s="11" t="b">
        <x:v>0</x:v>
      </x:c>
      <x:c r="BM109" s="11" t="b">
        <x:v>0</x:v>
      </x:c>
      <x:c r="BN109" s="10" t="str">
        <x:v>Conditional scenario sensitivity; not a forecast or probability</x:v>
      </x:c>
      <x:c r="BO109" s="14" t="n">
        <x:v>104.48980723947246</x:v>
      </x:c>
    </x:row>
    <x:row r="110" ht="18" customHeight="1">
      <x:c r="A110" s="10" t="str">
        <x:v>DUK</x:v>
      </x:c>
      <x:c r="B110" s="10" t="str">
        <x:v>Utilities</x:v>
      </x:c>
      <x:c r="C110" s="10" t="str">
        <x:v>fragmented_vs_baseline</x:v>
      </x:c>
      <x:c r="D110" s="10" t="str">
        <x:v>Fragmented World vs baseline</x:v>
      </x:c>
      <x:c r="E110" s="10" t="str">
        <x:v>Fragmented vs baseline</x:v>
      </x:c>
      <x:c r="F110" s="10" t="str">
        <x:v>fragmented_world</x:v>
      </x:c>
      <x:c r="G110" s="10" t="str">
        <x:v>baseline</x:v>
      </x:c>
      <x:c r="H110" s="10" t="n">
        <x:v>2050</x:v>
      </x:c>
      <x:c r="I110" s="10" t="str">
        <x:v>low</x:v>
      </x:c>
      <x:c r="J110" s="11" t="b">
        <x:v>1</x:v>
      </x:c>
      <x:c r="K110" s="10" t="str">
        <x:v>CFP-2026-003-R17-20260804T234500Z</x:v>
      </x:c>
      <x:c r="L11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0" s="14" t="n">
        <x:v>-22.390451377953426</x:v>
      </x:c>
      <x:c r="N110" s="12" t="n">
        <x:v>50132194683.06894</x:v>
      </x:c>
      <x:c r="O110" s="12" t="n">
        <x:v>38907370007.85544</x:v>
      </x:c>
      <x:c r="P110" s="12" t="n">
        <x:v>2512681140.1064544</x:v>
      </x:c>
      <x:c r="Q110" s="12" t="n">
        <x:v>1823371603.0427291</x:v>
      </x:c>
      <x:c r="R110" s="12" t="n">
        <x:v>-689309537.0637252</x:v>
      </x:c>
      <x:c r="S110" s="12" t="n">
        <x:v>1531556722.6890755</x:v>
      </x:c>
      <x:c r="T110" s="14" t="n">
        <x:v>21.570328993399084</x:v>
      </x:c>
      <x:c r="U110" s="14" t="n">
        <x:v>1.278210894386752</x:v>
      </x:c>
      <x:c r="V110" s="14" t="n">
        <x:v>4.584687753446878</x:v>
      </x:c>
      <x:c r="W110" s="12" t="n">
        <x:v>541993588.4760532</x:v>
      </x:c>
      <x:c r="X110" s="12" t="n">
        <x:v>32117364.07404195</x:v>
      </x:c>
      <x:c r="Y110" s="12" t="n">
        <x:v>115198584.51362999</x:v>
      </x:c>
      <x:c r="Z110" s="14" t="n">
        <x:v>-18.131672336411576</x:v>
      </x:c>
      <x:c r="AA110" s="14" t="n">
        <x:v>-0.9879576409820824</x:v>
      </x:c>
      <x:c r="AB110" s="14" t="n">
        <x:v>-3.270821400559761</x:v>
      </x:c>
      <x:c r="AC110" s="12" t="n">
        <x:v>540627456.1903391</x:v>
      </x:c>
      <x:c r="AD110" s="12" t="n">
        <x:v>430435.8727630088</x:v>
      </x:c>
      <x:c r="AE110" s="12" t="n">
        <x:v>935696.4129511274</x:v>
      </x:c>
      <x:c r="AF110" s="12" t="n">
        <x:v>30715870.755830828</x:v>
      </x:c>
      <x:c r="AG110" s="12" t="n">
        <x:v>1401493.3182111247</x:v>
      </x:c>
      <x:c r="AH110" s="13" t="n">
        <x:v>79756000</x:v>
      </x:c>
      <x:c r="AI110" s="13" t="n">
        <x:v>254000</x:v>
      </x:c>
      <x:c r="AJ110" s="13" t="n">
        <x:v>27607700</x:v>
      </x:c>
      <x:c r="AK110" s="12" t="n">
        <x:v>129959000000</x:v>
      </x:c>
      <x:c r="AL110" s="14" t="n">
        <x:v>0.17565995555046018</x:v>
      </x:c>
      <x:c r="AM110" s="13" t="n">
        <x:v>48</x:v>
      </x:c>
      <x:c r="AN110" s="13" t="n">
        <x:v>49</x:v>
      </x:c>
      <x:c r="AO110" s="14" t="n">
        <x:v>97.95918367346938</x:v>
      </x:c>
      <x:c r="AP110" s="10" t="str">
        <x:v>High</x:v>
      </x:c>
      <x:c r="AQ110" s="10" t="str">
        <x:v>Issuer facility-to-FEMA county match</x:v>
      </x:c>
      <x:c r="AR110" s="14" t="n">
        <x:v>0.17565995555046018</x:v>
      </x:c>
      <x:c r="AS110" s="14" t="n">
        <x:v>7.43690764334572</x:v>
      </x:c>
      <x:c r="AT110" s="14" t="n">
        <x:v>0</x:v>
      </x:c>
      <x:c r="AU110" s="14" t="n">
        <x:v>5.116136979477691</x:v>
      </x:c>
      <x:c r="AV110" s="14" t="n">
        <x:v>2</x:v>
      </x:c>
      <x:c r="AW110" s="10" t="n">
        <x:v>0.5</x:v>
      </x:c>
      <x:c r="AX110" s="10" t="n">
        <x:v>0.7</x:v>
      </x:c>
      <x:c r="AY110" s="10" t="n">
        <x:v>0.25</x:v>
      </x:c>
      <x:c r="AZ110" s="10" t="n">
        <x:v>0.0025</x:v>
      </x:c>
      <x:c r="BA110" s="10" t="n">
        <x:v>0.05</x:v>
      </x:c>
      <x:c r="BB110" s="10" t="n">
        <x:v>0.39</x:v>
      </x:c>
      <x:c r="BC110" s="10" t="n">
        <x:v>0.7</x:v>
      </x:c>
      <x:c r="BD110" s="10" t="n">
        <x:v>0.05</x:v>
      </x:c>
      <x:c r="BE110" s="10" t="n">
        <x:v>0.15</x:v>
      </x:c>
      <x:c r="BF110" s="10" t="n">
        <x:v>1.15</x:v>
      </x:c>
      <x:c r="BG110" s="10" t="n">
        <x:v>0.35</x:v>
      </x:c>
      <x:c r="BH110" s="10" t="n">
        <x:v>1.6373884833738848</x:v>
      </x:c>
      <x:c r="BI110" s="10" t="str">
        <x:v>Common scenario elasticity + issuer SEC CapEx/CFO dependency scale</x:v>
      </x:c>
      <x:c r="BJ110" s="10" t="str">
        <x:v>Modeled estimate using observed inputs + disclosed assumptions</x:v>
      </x:c>
      <x:c r="BK110" s="11" t="b">
        <x:v>0</x:v>
      </x:c>
      <x:c r="BL110" s="11" t="b">
        <x:v>0</x:v>
      </x:c>
      <x:c r="BM110" s="11" t="b">
        <x:v>0</x:v>
      </x:c>
      <x:c r="BN110" s="10" t="str">
        <x:v>Conditional scenario sensitivity; not a forecast or probability</x:v>
      </x:c>
      <x:c r="BO110" s="14" t="n">
        <x:v>128.85012446985544</x:v>
      </x:c>
    </x:row>
    <x:row r="111" ht="18" customHeight="1">
      <x:c r="A111" s="10" t="str">
        <x:v>DUK</x:v>
      </x:c>
      <x:c r="B111" s="10" t="str">
        <x:v>Utilities</x:v>
      </x:c>
      <x:c r="C111" s="10" t="str">
        <x:v>fragmented_vs_baseline</x:v>
      </x:c>
      <x:c r="D111" s="10" t="str">
        <x:v>Fragmented World vs baseline</x:v>
      </x:c>
      <x:c r="E111" s="10" t="str">
        <x:v>Fragmented vs baseline</x:v>
      </x:c>
      <x:c r="F111" s="10" t="str">
        <x:v>fragmented_world</x:v>
      </x:c>
      <x:c r="G111" s="10" t="str">
        <x:v>baseline</x:v>
      </x:c>
      <x:c r="H111" s="10" t="n">
        <x:v>2050</x:v>
      </x:c>
      <x:c r="I111" s="10" t="str">
        <x:v>base</x:v>
      </x:c>
      <x:c r="J111" s="11" t="b">
        <x:v>1</x:v>
      </x:c>
      <x:c r="K111" s="10" t="str">
        <x:v>CFP-2026-003-R17-20260804T234500Z</x:v>
      </x:c>
      <x:c r="L11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1" s="14" t="n">
        <x:v>-77.69294556291098</x:v>
      </x:c>
      <x:c r="N111" s="12" t="n">
        <x:v>50132194683.06894</x:v>
      </x:c>
      <x:c r="O111" s="12" t="n">
        <x:v>11183015958.459635</x:v>
      </x:c>
      <x:c r="P111" s="12" t="n">
        <x:v>2512681140.1064544</x:v>
      </x:c>
      <x:c r="Q111" s="12" t="n">
        <x:v>0</x:v>
      </x:c>
      <x:c r="R111" s="12" t="n">
        <x:v>-2512681140.1064544</x:v>
      </x:c>
      <x:c r="S111" s="12" t="n">
        <x:v>1531556722.6890755</x:v>
      </x:c>
      <x:c r="T111" s="14" t="n">
        <x:v>90.90639196602581</x:v>
      </x:c>
      <x:c r="U111" s="14" t="n">
        <x:v>3.581572932921585</x:v>
      </x:c>
      <x:c r="V111" s="14" t="n">
        <x:v>7.859464720194646</x:v>
      </x:c>
      <x:c r="W111" s="12" t="n">
        <x:v>2284187766.081579</x:v>
      </x:c>
      <x:c r="X111" s="12" t="n">
        <x:v>89993507.60467826</x:v>
      </x:c>
      <x:c r="Y111" s="12" t="n">
        <x:v>197483287.7376514</x:v>
      </x:c>
      <x:c r="Z111" s="14" t="n">
        <x:v>-70.17947944980673</x:v>
      </x:c>
      <x:c r="AA111" s="14" t="n">
        <x:v>-2.3404386366267786</x:v>
      </x:c>
      <x:c r="AB111" s="14" t="n">
        <x:v>-5.173027476477462</x:v>
      </x:c>
      <x:c r="AC111" s="12" t="n">
        <x:v>2275313957.962114</x:v>
      </x:c>
      <x:c r="AD111" s="12" t="n">
        <x:v>3623111.398028843</x:v>
      </x:c>
      <x:c r="AE111" s="12" t="n">
        <x:v>5250696.721436268</x:v>
      </x:c>
      <x:c r="AF111" s="12" t="n">
        <x:v>85321863.21064118</x:v>
      </x:c>
      <x:c r="AG111" s="12" t="n">
        <x:v>4671644.394037083</x:v>
      </x:c>
      <x:c r="AH111" s="13" t="n">
        <x:v>79756000</x:v>
      </x:c>
      <x:c r="AI111" s="13" t="n">
        <x:v>254000</x:v>
      </x:c>
      <x:c r="AJ111" s="13" t="n">
        <x:v>27607700</x:v>
      </x:c>
      <x:c r="AK111" s="12" t="n">
        <x:v>129959000000</x:v>
      </x:c>
      <x:c r="AL111" s="14" t="n">
        <x:v>0.17565995555046018</x:v>
      </x:c>
      <x:c r="AM111" s="13" t="n">
        <x:v>48</x:v>
      </x:c>
      <x:c r="AN111" s="13" t="n">
        <x:v>49</x:v>
      </x:c>
      <x:c r="AO111" s="14" t="n">
        <x:v>97.95918367346938</x:v>
      </x:c>
      <x:c r="AP111" s="10" t="str">
        <x:v>High</x:v>
      </x:c>
      <x:c r="AQ111" s="10" t="str">
        <x:v>Issuer facility-to-FEMA county match</x:v>
      </x:c>
      <x:c r="AR111" s="14" t="n">
        <x:v>0.17565995555046018</x:v>
      </x:c>
      <x:c r="AS111" s="14" t="n">
        <x:v>7.43690764334572</x:v>
      </x:c>
      <x:c r="AT111" s="14" t="n">
        <x:v>0</x:v>
      </x:c>
      <x:c r="AU111" s="14" t="n">
        <x:v>5.116136979477691</x:v>
      </x:c>
      <x:c r="AV111" s="14" t="n">
        <x:v>2</x:v>
      </x:c>
      <x:c r="AW111" s="10" t="n">
        <x:v>0.75</x:v>
      </x:c>
      <x:c r="AX111" s="10" t="n">
        <x:v>0.5</x:v>
      </x:c>
      <x:c r="AY111" s="10" t="n">
        <x:v>0.5</x:v>
      </x:c>
      <x:c r="AZ111" s="10" t="n">
        <x:v>0.005</x:v>
      </x:c>
      <x:c r="BA111" s="10" t="n">
        <x:v>0.03</x:v>
      </x:c>
      <x:c r="BB111" s="10" t="n">
        <x:v>0.65</x:v>
      </x:c>
      <x:c r="BC111" s="10" t="n">
        <x:v>0.5</x:v>
      </x:c>
      <x:c r="BD111" s="10" t="n">
        <x:v>0.1</x:v>
      </x:c>
      <x:c r="BE111" s="10" t="n">
        <x:v>0.25</x:v>
      </x:c>
      <x:c r="BF111" s="10" t="n">
        <x:v>1.15</x:v>
      </x:c>
      <x:c r="BG111" s="10" t="n">
        <x:v>0.6</x:v>
      </x:c>
      <x:c r="BH111" s="10" t="n">
        <x:v>1.6373884833738848</x:v>
      </x:c>
      <x:c r="BI111" s="10" t="str">
        <x:v>Common scenario elasticity + issuer SEC CapEx/CFO dependency scale</x:v>
      </x:c>
      <x:c r="BJ111" s="10" t="str">
        <x:v>Modeled estimate using observed inputs + disclosed assumptions</x:v>
      </x:c>
      <x:c r="BK111" s="11" t="b">
        <x:v>0</x:v>
      </x:c>
      <x:c r="BL111" s="11" t="b">
        <x:v>0</x:v>
      </x:c>
      <x:c r="BM111" s="11" t="b">
        <x:v>0</x:v>
      </x:c>
      <x:c r="BN111" s="10" t="str">
        <x:v>Conditional scenario sensitivity; not a forecast or probability</x:v>
      </x:c>
      <x:c r="BO111" s="14" t="n">
        <x:v>448.2886805249112</x:v>
      </x:c>
    </x:row>
    <x:row r="112" ht="18" customHeight="1">
      <x:c r="A112" s="10" t="str">
        <x:v>DUK</x:v>
      </x:c>
      <x:c r="B112" s="10" t="str">
        <x:v>Utilities</x:v>
      </x:c>
      <x:c r="C112" s="10" t="str">
        <x:v>fragmented_vs_baseline</x:v>
      </x:c>
      <x:c r="D112" s="10" t="str">
        <x:v>Fragmented World vs baseline</x:v>
      </x:c>
      <x:c r="E112" s="10" t="str">
        <x:v>Fragmented vs baseline</x:v>
      </x:c>
      <x:c r="F112" s="10" t="str">
        <x:v>fragmented_world</x:v>
      </x:c>
      <x:c r="G112" s="10" t="str">
        <x:v>baseline</x:v>
      </x:c>
      <x:c r="H112" s="10" t="n">
        <x:v>2050</x:v>
      </x:c>
      <x:c r="I112" s="10" t="str">
        <x:v>high</x:v>
      </x:c>
      <x:c r="J112" s="11" t="b">
        <x:v>1</x:v>
      </x:c>
      <x:c r="K112" s="10" t="str">
        <x:v>CFP-2026-003-R17-20260804T234500Z</x:v>
      </x:c>
      <x:c r="L112"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2" s="14" t="n">
        <x:v>-84.18151791058364</x:v>
      </x:c>
      <x:c r="N112" s="12" t="n">
        <x:v>50132194683.06894</x:v>
      </x:c>
      <x:c r="O112" s="12" t="n">
        <x:v>7930152236.972601</x:v>
      </x:c>
      <x:c r="P112" s="12" t="n">
        <x:v>2512681140.1064544</x:v>
      </x:c>
      <x:c r="Q112" s="12" t="n">
        <x:v>0</x:v>
      </x:c>
      <x:c r="R112" s="12" t="n">
        <x:v>-2512681140.1064544</x:v>
      </x:c>
      <x:c r="S112" s="12" t="n">
        <x:v>1531556722.6890755</x:v>
      </x:c>
      <x:c r="T112" s="14" t="n">
        <x:v>283.1981915164849</x:v>
      </x:c>
      <x:c r="U112" s="14" t="n">
        <x:v>7.012731568541368</x:v>
      </x:c>
      <x:c r="V112" s="14" t="n">
        <x:v>13.099107866991078</x:v>
      </x:c>
      <x:c r="W112" s="12" t="n">
        <x:v>7115867547.357273</x:v>
      </x:c>
      <x:c r="X112" s="12" t="n">
        <x:v>176207583.52903047</x:v>
      </x:c>
      <x:c r="Y112" s="12" t="n">
        <x:v>329138812.8960857</x:v>
      </x:c>
      <x:c r="Z112" s="14" t="n">
        <x:v>-76.2907405277306</x:v>
      </x:c>
      <x:c r="AA112" s="14" t="n">
        <x:v>-2.9747841423562464</x:v>
      </x:c>
      <x:c r="AB112" s="14" t="n">
        <x:v>-4.915993240496784</x:v>
      </x:c>
      <x:c r="AC112" s="12" t="n">
        <x:v>7074481440.64266</x:v>
      </x:c>
      <x:c r="AD112" s="12" t="n">
        <x:v>16897646.75312737</x:v>
      </x:c>
      <x:c r="AE112" s="12" t="n">
        <x:v>24488459.96148633</x:v>
      </x:c>
      <x:c r="AF112" s="12" t="n">
        <x:v>161258321.4681118</x:v>
      </x:c>
      <x:c r="AG112" s="12" t="n">
        <x:v>14949262.060918665</x:v>
      </x:c>
      <x:c r="AH112" s="13" t="n">
        <x:v>79756000</x:v>
      </x:c>
      <x:c r="AI112" s="13" t="n">
        <x:v>254000</x:v>
      </x:c>
      <x:c r="AJ112" s="13" t="n">
        <x:v>27607700</x:v>
      </x:c>
      <x:c r="AK112" s="12" t="n">
        <x:v>129959000000</x:v>
      </x:c>
      <x:c r="AL112" s="14" t="n">
        <x:v>0.17565995555046018</x:v>
      </x:c>
      <x:c r="AM112" s="13" t="n">
        <x:v>48</x:v>
      </x:c>
      <x:c r="AN112" s="13" t="n">
        <x:v>49</x:v>
      </x:c>
      <x:c r="AO112" s="14" t="n">
        <x:v>97.95918367346938</x:v>
      </x:c>
      <x:c r="AP112" s="10" t="str">
        <x:v>High</x:v>
      </x:c>
      <x:c r="AQ112" s="10" t="str">
        <x:v>Issuer facility-to-FEMA county match</x:v>
      </x:c>
      <x:c r="AR112" s="14" t="n">
        <x:v>0.17565995555046018</x:v>
      </x:c>
      <x:c r="AS112" s="14" t="n">
        <x:v>7.43690764334572</x:v>
      </x:c>
      <x:c r="AT112" s="14" t="n">
        <x:v>0</x:v>
      </x:c>
      <x:c r="AU112" s="14" t="n">
        <x:v>5.116136979477691</x:v>
      </x:c>
      <x:c r="AV112" s="14" t="n">
        <x:v>2</x:v>
      </x:c>
      <x:c r="AW112" s="10" t="n">
        <x:v>1</x:v>
      </x:c>
      <x:c r="AX112" s="10" t="n">
        <x:v>0.3</x:v>
      </x:c>
      <x:c r="AY112" s="10" t="n">
        <x:v>0.75</x:v>
      </x:c>
      <x:c r="AZ112" s="10" t="n">
        <x:v>0.01</x:v>
      </x:c>
      <x:c r="BA112" s="10" t="n">
        <x:v>0.01</x:v>
      </x:c>
      <x:c r="BB112" s="10" t="n">
        <x:v>0.8775000000000001</x:v>
      </x:c>
      <x:c r="BC112" s="10" t="n">
        <x:v>0.3</x:v>
      </x:c>
      <x:c r="BD112" s="10" t="n">
        <x:v>0.2</x:v>
      </x:c>
      <x:c r="BE112" s="10" t="n">
        <x:v>0.4</x:v>
      </x:c>
      <x:c r="BF112" s="10" t="n">
        <x:v>1.15</x:v>
      </x:c>
      <x:c r="BG112" s="10" t="n">
        <x:v>1</x:v>
      </x:c>
      <x:c r="BH112" s="10" t="n">
        <x:v>1.6373884833738848</x:v>
      </x:c>
      <x:c r="BI112" s="10" t="str">
        <x:v>Common scenario elasticity + issuer SEC CapEx/CFO dependency scale</x:v>
      </x:c>
      <x:c r="BJ112" s="10" t="str">
        <x:v>Modeled estimate using observed inputs + disclosed assumptions</x:v>
      </x:c>
      <x:c r="BK112" s="11" t="b">
        <x:v>0</x:v>
      </x:c>
      <x:c r="BL112" s="11" t="b">
        <x:v>0</x:v>
      </x:c>
      <x:c r="BM112" s="11" t="b">
        <x:v>0</x:v>
      </x:c>
      <x:c r="BN112" s="10" t="str">
        <x:v>Conditional scenario sensitivity; not a forecast or probability</x:v>
      </x:c>
      <x:c r="BO112" s="14" t="n">
        <x:v>632.1719077389025</x:v>
      </x:c>
    </x:row>
    <x:row r="113" ht="18" customHeight="1">
      <x:c r="A113" s="10" t="str">
        <x:v>MSFT</x:v>
      </x:c>
      <x:c r="B113" s="10" t="str">
        <x:v>Technology</x:v>
      </x:c>
      <x:c r="C113" s="10" t="str">
        <x:v>fragmented_vs_baseline</x:v>
      </x:c>
      <x:c r="D113" s="10" t="str">
        <x:v>Fragmented World vs baseline</x:v>
      </x:c>
      <x:c r="E113" s="10" t="str">
        <x:v>Fragmented vs baseline</x:v>
      </x:c>
      <x:c r="F113" s="10" t="str">
        <x:v>fragmented_world</x:v>
      </x:c>
      <x:c r="G113" s="10" t="str">
        <x:v>baseline</x:v>
      </x:c>
      <x:c r="H113" s="10" t="n">
        <x:v>2050</x:v>
      </x:c>
      <x:c r="I113" s="10" t="str">
        <x:v>low</x:v>
      </x:c>
      <x:c r="J113" s="11" t="b">
        <x:v>1</x:v>
      </x:c>
      <x:c r="K113" s="10" t="str">
        <x:v>CFP-2026-003-R17-20260804T234500Z</x:v>
      </x:c>
      <x:c r="L113"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3" s="14" t="n">
        <x:v>-1.4248454392230214</x:v>
      </x:c>
      <x:c r="N113" s="12" t="n">
        <x:v>1056700433995.6056</x:v>
      </x:c>
      <x:c r="O113" s="12" t="n">
        <x:v>1041644086055.5693</x:v>
      </x:c>
      <x:c r="P113" s="12" t="n">
        <x:v>136222325961.35968</x:v>
      </x:c>
      <x:c r="Q113" s="12" t="n">
        <x:v>132417761782.2366</x:v>
      </x:c>
      <x:c r="R113" s="12" t="n">
        <x:v>-3804564179.1230774</x:v>
      </x:c>
      <x:c r="S113" s="12" t="n">
        <x:v>73477040696.4498</x:v>
      </x:c>
      <x:c r="T113" s="14" t="n">
        <x:v>0.0025431820653535114</x:v>
      </x:c>
      <x:c r="U113" s="14" t="n">
        <x:v>0.06295477665217171</x:v>
      </x:c>
      <x:c r="V113" s="14" t="n">
        <x:v>2.7274099969154393</x:v>
      </x:c>
      <x:c r="W113" s="12" t="n">
        <x:v>3464381.7628567</x:v>
      </x:c>
      <x:c r="X113" s="12" t="n">
        <x:v>85758461.05936731</x:v>
      </x:c>
      <x:c r="Y113" s="12" t="n">
        <x:v>3715341336.3008595</x:v>
      </x:c>
      <x:c r="Z113" s="14" t="n">
        <x:v>-0.0017575480003646344</x:v>
      </x:c>
      <x:c r="AA113" s="14" t="n">
        <x:v>-0.05759805177204544</x:v>
      </x:c>
      <x:c r="AB113" s="14" t="n">
        <x:v>-1.365489839450611</x:v>
      </x:c>
      <x:c r="AC113" s="12" t="n">
        <x:v>972785.0724443998</x:v>
      </x:c>
      <x:c r="AD113" s="12" t="n">
        <x:v>439061.5365124723</x:v>
      </x:c>
      <x:c r="AE113" s="12" t="n">
        <x:v>2052535.153899828</x:v>
      </x:c>
      <x:c r="AF113" s="12" t="n">
        <x:v>9777996.774139704</x:v>
      </x:c>
      <x:c r="AG113" s="12" t="n">
        <x:v>75980464.28522761</x:v>
      </x:c>
      <x:c r="AH113" s="13" t="n">
        <x:v>143510</x:v>
      </x:c>
      <x:c r="AI113" s="13" t="n">
        <x:v>259090</x:v>
      </x:c>
      <x:c r="AJ113" s="13" t="n">
        <x:v>15140000</x:v>
      </x:c>
      <x:c r="AK113" s="12" t="n">
        <x:v>261126000000</x:v>
      </x:c>
      <x:c r="AL113" s="14" t="n">
        <x:v>0.18089619337783003</x:v>
      </x:c>
      <x:c r="AM113" s="13" t="n">
        <x:v>0</x:v>
      </x:c>
      <x:c r="AN113" s="13" t="n">
        <x:v>0</x:v>
      </x:c>
      <x:c r="AO113" s="14"/>
      <x:c r="AP113" s="10" t="str">
        <x:v>Unverified</x:v>
      </x:c>
      <x:c r="AQ113" s="10" t="str">
        <x:v>Proxy fallback; no issuer facilities in governed match file</x:v>
      </x:c>
      <x:c r="AR113" s="14"/>
      <x:c r="AS113" s="14" t="n">
        <x:v>7.43690764334572</x:v>
      </x:c>
      <x:c r="AT113" s="14" t="n">
        <x:v>0</x:v>
      </x:c>
      <x:c r="AU113" s="14" t="n">
        <x:v>9.627276973766637</x:v>
      </x:c>
      <x:c r="AV113" s="14" t="n">
        <x:v>2.5</x:v>
      </x:c>
      <x:c r="AW113" s="10" t="n">
        <x:v>0.5</x:v>
      </x:c>
      <x:c r="AX113" s="10" t="n">
        <x:v>0.7</x:v>
      </x:c>
      <x:c r="AY113" s="10" t="n">
        <x:v>0.25</x:v>
      </x:c>
      <x:c r="AZ113" s="10" t="n">
        <x:v>0.01</x:v>
      </x:c>
      <x:c r="BA113" s="10" t="n">
        <x:v>0.05</x:v>
      </x:c>
      <x:c r="BB113" s="10" t="n">
        <x:v>0.06</x:v>
      </x:c>
      <x:c r="BC113" s="10" t="n">
        <x:v>0.7</x:v>
      </x:c>
      <x:c r="BD113" s="10" t="n">
        <x:v>0.05</x:v>
      </x:c>
      <x:c r="BE113" s="10" t="n">
        <x:v>0.15</x:v>
      </x:c>
      <x:c r="BF113" s="10" t="n">
        <x:v>1.15</x:v>
      </x:c>
      <x:c r="BG113" s="10" t="n">
        <x:v>0.35</x:v>
      </x:c>
      <x:c r="BH113" s="10" t="n">
        <x:v>0.974074998898371</x:v>
      </x:c>
      <x:c r="BI113" s="10" t="str">
        <x:v>Common scenario elasticity + issuer SEC CapEx/CFO dependency scale</x:v>
      </x:c>
      <x:c r="BJ113" s="10" t="str">
        <x:v>Modeled estimate using observed inputs + disclosed assumptions</x:v>
      </x:c>
      <x:c r="BK113" s="11" t="b">
        <x:v>0</x:v>
      </x:c>
      <x:c r="BL113" s="11" t="b">
        <x:v>0</x:v>
      </x:c>
      <x:c r="BM113" s="11" t="b">
        <x:v>0</x:v>
      </x:c>
      <x:c r="BN113" s="10" t="str">
        <x:v>Conditional scenario sensitivity; not a forecast or probability</x:v>
      </x:c>
      <x:c r="BO113" s="14" t="n">
        <x:v>101.44544073562119</x:v>
      </x:c>
    </x:row>
    <x:row r="114" ht="18" customHeight="1">
      <x:c r="A114" s="10" t="str">
        <x:v>MSFT</x:v>
      </x:c>
      <x:c r="B114" s="10" t="str">
        <x:v>Technology</x:v>
      </x:c>
      <x:c r="C114" s="10" t="str">
        <x:v>fragmented_vs_baseline</x:v>
      </x:c>
      <x:c r="D114" s="10" t="str">
        <x:v>Fragmented World vs baseline</x:v>
      </x:c>
      <x:c r="E114" s="10" t="str">
        <x:v>Fragmented vs baseline</x:v>
      </x:c>
      <x:c r="F114" s="10" t="str">
        <x:v>fragmented_world</x:v>
      </x:c>
      <x:c r="G114" s="10" t="str">
        <x:v>baseline</x:v>
      </x:c>
      <x:c r="H114" s="10" t="n">
        <x:v>2050</x:v>
      </x:c>
      <x:c r="I114" s="10" t="str">
        <x:v>base</x:v>
      </x:c>
      <x:c r="J114" s="11" t="b">
        <x:v>1</x:v>
      </x:c>
      <x:c r="K114" s="10" t="str">
        <x:v>CFP-2026-003-R17-20260804T234500Z</x:v>
      </x:c>
      <x:c r="L114"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4" s="14" t="n">
        <x:v>-2.538859584592845</x:v>
      </x:c>
      <x:c r="N114" s="12" t="n">
        <x:v>1056700433995.6056</x:v>
      </x:c>
      <x:c r="O114" s="12" t="n">
        <x:v>1029872293746.674</x:v>
      </x:c>
      <x:c r="P114" s="12" t="n">
        <x:v>136222325961.35968</x:v>
      </x:c>
      <x:c r="Q114" s="12" t="n">
        <x:v>129553432355.61769</x:v>
      </x:c>
      <x:c r="R114" s="12" t="n">
        <x:v>-6668893605.741989</x:v>
      </x:c>
      <x:c r="S114" s="12" t="n">
        <x:v>73477040696.4498</x:v>
      </x:c>
      <x:c r="T114" s="14" t="n">
        <x:v>0.014173677226178197</x:v>
      </x:c>
      <x:c r="U114" s="14" t="n">
        <x:v>0.205861494769973</x:v>
      </x:c>
      <x:c r="V114" s="14" t="n">
        <x:v>4.675559994712181</x:v>
      </x:c>
      <x:c r="W114" s="12" t="n">
        <x:v>19307712.791755468</x:v>
      </x:c>
      <x:c r="X114" s="12" t="n">
        <x:v>280429316.4344801</x:v>
      </x:c>
      <x:c r="Y114" s="12" t="n">
        <x:v>6369156576.5157585</x:v>
      </x:c>
      <x:c r="Z114" s="14" t="n">
        <x:v>-0.008420477628416679</x:v>
      </x:c>
      <x:c r="AA114" s="14" t="n">
        <x:v>-0.18959938219194028</x:v>
      </x:c>
      <x:c r="AB114" s="14" t="n">
        <x:v>-2.3408397247724895</x:v>
      </x:c>
      <x:c r="AC114" s="12" t="n">
        <x:v>4094115.8797725933</x:v>
      </x:c>
      <x:c r="AD114" s="12" t="n">
        <x:v>3695716.268170445</x:v>
      </x:c>
      <x:c r="AE114" s="12" t="n">
        <x:v>11517880.643812427</x:v>
      </x:c>
      <x:c r="AF114" s="12" t="n">
        <x:v>27161102.150388066</x:v>
      </x:c>
      <x:c r="AG114" s="12" t="n">
        <x:v>253268214.284092</x:v>
      </x:c>
      <x:c r="AH114" s="13" t="n">
        <x:v>143510</x:v>
      </x:c>
      <x:c r="AI114" s="13" t="n">
        <x:v>259090</x:v>
      </x:c>
      <x:c r="AJ114" s="13" t="n">
        <x:v>15140000</x:v>
      </x:c>
      <x:c r="AK114" s="12" t="n">
        <x:v>261126000000</x:v>
      </x:c>
      <x:c r="AL114" s="14" t="n">
        <x:v>0.18089619337783003</x:v>
      </x:c>
      <x:c r="AM114" s="13" t="n">
        <x:v>0</x:v>
      </x:c>
      <x:c r="AN114" s="13" t="n">
        <x:v>0</x:v>
      </x:c>
      <x:c r="AO114" s="14"/>
      <x:c r="AP114" s="10" t="str">
        <x:v>Unverified</x:v>
      </x:c>
      <x:c r="AQ114" s="10" t="str">
        <x:v>Proxy fallback; no issuer facilities in governed match file</x:v>
      </x:c>
      <x:c r="AR114" s="14"/>
      <x:c r="AS114" s="14" t="n">
        <x:v>7.43690764334572</x:v>
      </x:c>
      <x:c r="AT114" s="14" t="n">
        <x:v>0</x:v>
      </x:c>
      <x:c r="AU114" s="14" t="n">
        <x:v>9.627276973766637</x:v>
      </x:c>
      <x:c r="AV114" s="14" t="n">
        <x:v>2.5</x:v>
      </x:c>
      <x:c r="AW114" s="10" t="n">
        <x:v>0.75</x:v>
      </x:c>
      <x:c r="AX114" s="10" t="n">
        <x:v>0.5</x:v>
      </x:c>
      <x:c r="AY114" s="10" t="n">
        <x:v>0.5</x:v>
      </x:c>
      <x:c r="AZ114" s="10" t="n">
        <x:v>0.02</x:v>
      </x:c>
      <x:c r="BA114" s="10" t="n">
        <x:v>0.03</x:v>
      </x:c>
      <x:c r="BB114" s="10" t="n">
        <x:v>0.1</x:v>
      </x:c>
      <x:c r="BC114" s="10" t="n">
        <x:v>0.5</x:v>
      </x:c>
      <x:c r="BD114" s="10" t="n">
        <x:v>0.1</x:v>
      </x:c>
      <x:c r="BE114" s="10" t="n">
        <x:v>0.25</x:v>
      </x:c>
      <x:c r="BF114" s="10" t="n">
        <x:v>1.15</x:v>
      </x:c>
      <x:c r="BG114" s="10" t="n">
        <x:v>0.6</x:v>
      </x:c>
      <x:c r="BH114" s="10" t="n">
        <x:v>0.974074998898371</x:v>
      </x:c>
      <x:c r="BI114" s="10" t="str">
        <x:v>Common scenario elasticity + issuer SEC CapEx/CFO dependency scale</x:v>
      </x:c>
      <x:c r="BJ114" s="10" t="str">
        <x:v>Modeled estimate using observed inputs + disclosed assumptions</x:v>
      </x:c>
      <x:c r="BK114" s="11" t="b">
        <x:v>0</x:v>
      </x:c>
      <x:c r="BL114" s="11" t="b">
        <x:v>0</x:v>
      </x:c>
      <x:c r="BM114" s="11" t="b">
        <x:v>0</x:v>
      </x:c>
      <x:c r="BN114" s="10" t="str">
        <x:v>Conditional scenario sensitivity; not a forecast or probability</x:v>
      </x:c>
      <x:c r="BO114" s="14" t="n">
        <x:v>102.60499679541148</x:v>
      </x:c>
    </x:row>
    <x:row r="115" ht="18" customHeight="1">
      <x:c r="A115" s="10" t="str">
        <x:v>MSFT</x:v>
      </x:c>
      <x:c r="B115" s="10" t="str">
        <x:v>Technology</x:v>
      </x:c>
      <x:c r="C115" s="10" t="str">
        <x:v>fragmented_vs_baseline</x:v>
      </x:c>
      <x:c r="D115" s="10" t="str">
        <x:v>Fragmented World vs baseline</x:v>
      </x:c>
      <x:c r="E115" s="10" t="str">
        <x:v>Fragmented vs baseline</x:v>
      </x:c>
      <x:c r="F115" s="10" t="str">
        <x:v>fragmented_world</x:v>
      </x:c>
      <x:c r="G115" s="10" t="str">
        <x:v>baseline</x:v>
      </x:c>
      <x:c r="H115" s="10" t="n">
        <x:v>2050</x:v>
      </x:c>
      <x:c r="I115" s="10" t="str">
        <x:v>high</x:v>
      </x:c>
      <x:c r="J115" s="11" t="b">
        <x:v>1</x:v>
      </x:c>
      <x:c r="K115" s="10" t="str">
        <x:v>CFP-2026-003-R17-20260804T234500Z</x:v>
      </x:c>
      <x:c r="L115"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5" s="14" t="n">
        <x:v>-4.524437794510816</x:v>
      </x:c>
      <x:c r="N115" s="12" t="n">
        <x:v>1056700433995.6056</x:v>
      </x:c>
      <x:c r="O115" s="12" t="n">
        <x:v>1008890680185.1486</x:v>
      </x:c>
      <x:c r="P115" s="12" t="n">
        <x:v>136222325961.35968</x:v>
      </x:c>
      <x:c r="Q115" s="12" t="n">
        <x:v>124661588742.84389</x:v>
      </x:c>
      <x:c r="R115" s="12" t="n">
        <x:v>-11560737218.515793</x:v>
      </x:c>
      <x:c r="S115" s="12" t="n">
        <x:v>73477040696.4498</x:v>
      </x:c>
      <x:c r="T115" s="14" t="n">
        <x:v>0.061431551907727575</x:v>
      </x:c>
      <x:c r="U115" s="14" t="n">
        <x:v>0.6326369504348215</x:v>
      </x:c>
      <x:c r="V115" s="14" t="n">
        <x:v>7.792599991186969</x:v>
      </x:c>
      <x:c r="W115" s="12" t="n">
        <x:v>83683488.88286653</x:v>
      </x:c>
      <x:c r="X115" s="12" t="n">
        <x:v>861792768.773328</x:v>
      </x:c>
      <x:c r="Y115" s="12" t="n">
        <x:v>10615260960.859598</x:v>
      </x:c>
      <x:c r="Z115" s="14" t="n">
        <x:v>-0.03200174054171114</x:v>
      </x:c>
      <x:c r="AA115" s="14" t="n">
        <x:v>-0.5910365126816115</x:v>
      </x:c>
      <x:c r="AB115" s="14" t="n">
        <x:v>-3.9013995412874958</x:v>
      </x:c>
      <x:c r="AC115" s="12" t="n">
        <x:v>12729560.554022621</x:v>
      </x:c>
      <x:c r="AD115" s="12" t="n">
        <x:v>17236264.949873116</x:v>
      </x:c>
      <x:c r="AE115" s="12" t="n">
        <x:v>53717663.378970794</x:v>
      </x:c>
      <x:c r="AF115" s="12" t="n">
        <x:v>51334483.06423344</x:v>
      </x:c>
      <x:c r="AG115" s="12" t="n">
        <x:v>810458285.7090945</x:v>
      </x:c>
      <x:c r="AH115" s="13" t="n">
        <x:v>143510</x:v>
      </x:c>
      <x:c r="AI115" s="13" t="n">
        <x:v>259090</x:v>
      </x:c>
      <x:c r="AJ115" s="13" t="n">
        <x:v>15140000</x:v>
      </x:c>
      <x:c r="AK115" s="12" t="n">
        <x:v>261126000000</x:v>
      </x:c>
      <x:c r="AL115" s="14" t="n">
        <x:v>0.18089619337783003</x:v>
      </x:c>
      <x:c r="AM115" s="13" t="n">
        <x:v>0</x:v>
      </x:c>
      <x:c r="AN115" s="13" t="n">
        <x:v>0</x:v>
      </x:c>
      <x:c r="AO115" s="14"/>
      <x:c r="AP115" s="10" t="str">
        <x:v>Unverified</x:v>
      </x:c>
      <x:c r="AQ115" s="10" t="str">
        <x:v>Proxy fallback; no issuer facilities in governed match file</x:v>
      </x:c>
      <x:c r="AR115" s="14"/>
      <x:c r="AS115" s="14" t="n">
        <x:v>7.43690764334572</x:v>
      </x:c>
      <x:c r="AT115" s="14" t="n">
        <x:v>0</x:v>
      </x:c>
      <x:c r="AU115" s="14" t="n">
        <x:v>9.627276973766637</x:v>
      </x:c>
      <x:c r="AV115" s="14" t="n">
        <x:v>2.5</x:v>
      </x:c>
      <x:c r="AW115" s="10" t="n">
        <x:v>1</x:v>
      </x:c>
      <x:c r="AX115" s="10" t="n">
        <x:v>0.3</x:v>
      </x:c>
      <x:c r="AY115" s="10" t="n">
        <x:v>0.75</x:v>
      </x:c>
      <x:c r="AZ115" s="10" t="n">
        <x:v>0.04</x:v>
      </x:c>
      <x:c r="BA115" s="10" t="n">
        <x:v>0.01</x:v>
      </x:c>
      <x:c r="BB115" s="10" t="n">
        <x:v>0.135</x:v>
      </x:c>
      <x:c r="BC115" s="10" t="n">
        <x:v>0.3</x:v>
      </x:c>
      <x:c r="BD115" s="10" t="n">
        <x:v>0.2</x:v>
      </x:c>
      <x:c r="BE115" s="10" t="n">
        <x:v>0.4</x:v>
      </x:c>
      <x:c r="BF115" s="10" t="n">
        <x:v>1.15</x:v>
      </x:c>
      <x:c r="BG115" s="10" t="n">
        <x:v>1</x:v>
      </x:c>
      <x:c r="BH115" s="10" t="n">
        <x:v>0.974074998898371</x:v>
      </x:c>
      <x:c r="BI115" s="10" t="str">
        <x:v>Common scenario elasticity + issuer SEC CapEx/CFO dependency scale</x:v>
      </x:c>
      <x:c r="BJ115" s="10" t="str">
        <x:v>Modeled estimate using observed inputs + disclosed assumptions</x:v>
      </x:c>
      <x:c r="BK115" s="11" t="b">
        <x:v>0</x:v>
      </x:c>
      <x:c r="BL115" s="11" t="b">
        <x:v>0</x:v>
      </x:c>
      <x:c r="BM115" s="11" t="b">
        <x:v>0</x:v>
      </x:c>
      <x:c r="BN115" s="10" t="str">
        <x:v>Conditional scenario sensitivity; not a forecast or probability</x:v>
      </x:c>
      <x:c r="BO115" s="14" t="n">
        <x:v>104.73884383605201</x:v>
      </x:c>
    </x:row>
    <x:row r="116" ht="18" customHeight="1">
      <x:c r="A116" s="10" t="str">
        <x:v>NEE</x:v>
      </x:c>
      <x:c r="B116" s="10" t="str">
        <x:v>Utilities</x:v>
      </x:c>
      <x:c r="C116" s="10" t="str">
        <x:v>fragmented_vs_baseline</x:v>
      </x:c>
      <x:c r="D116" s="10" t="str">
        <x:v>Fragmented World vs baseline</x:v>
      </x:c>
      <x:c r="E116" s="10" t="str">
        <x:v>Fragmented vs baseline</x:v>
      </x:c>
      <x:c r="F116" s="10" t="str">
        <x:v>fragmented_world</x:v>
      </x:c>
      <x:c r="G116" s="10" t="str">
        <x:v>baseline</x:v>
      </x:c>
      <x:c r="H116" s="10" t="n">
        <x:v>2050</x:v>
      </x:c>
      <x:c r="I116" s="10" t="str">
        <x:v>low</x:v>
      </x:c>
      <x:c r="J116" s="11" t="b">
        <x:v>1</x:v>
      </x:c>
      <x:c r="K116" s="10" t="str">
        <x:v>CFP-2026-003-R17-20260804T234500Z</x:v>
      </x:c>
      <x:c r="L116"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6" s="14" t="n">
        <x:v>-5.041262193871865</x:v>
      </x:c>
      <x:c r="N116" s="12" t="n">
        <x:v>207787213356.48944</x:v>
      </x:c>
      <x:c r="O116" s="12" t="n">
        <x:v>197312115125.84888</x:v>
      </x:c>
      <x:c r="P116" s="12" t="n">
        <x:v>16208268485.95464</x:v>
      </x:c>
      <x:c r="Q116" s="12" t="n">
        <x:v>14944704768.750565</x:v>
      </x:c>
      <x:c r="R116" s="12" t="n">
        <x:v>-1263563717.2040749</x:v>
      </x:c>
      <x:c r="S116" s="12" t="n">
        <x:v>9879440000</x:v>
      </x:c>
      <x:c r="T116" s="14" t="n">
        <x:v>1.8157428974278669</x:v>
      </x:c>
      <x:c r="U116" s="14" t="n">
        <x:v>0.38005415701395956</x:v>
      </x:c>
      <x:c r="V116" s="14" t="n">
        <x:v>5.6</x:v>
      </x:c>
      <x:c r="W116" s="12" t="n">
        <x:v>294300483.8297606</x:v>
      </x:c>
      <x:c r="X116" s="12" t="n">
        <x:v>61600198.160854176</x:v>
      </x:c>
      <x:c r="Y116" s="12" t="n">
        <x:v>907663035.2134597</x:v>
      </x:c>
      <x:c r="Z116" s="14" t="n">
        <x:v>-1.3798839242365117</x:v>
      </x:c>
      <x:c r="AA116" s="14" t="n">
        <x:v>-0.2713313463263441</x:v>
      </x:c>
      <x:c r="AB116" s="14" t="n">
        <x:v>-3.390046923309005</x:v>
      </x:c>
      <x:c r="AC116" s="12" t="n">
        <x:v>294254885.65811294</x:v>
      </x:c>
      <x:c r="AD116" s="12" t="n">
        <x:v>43387.59704862723</x:v>
      </x:c>
      <x:c r="AE116" s="12" t="n">
        <x:v>2210.574599010086</x:v>
      </x:c>
      <x:c r="AF116" s="12" t="n">
        <x:v>52559743.4767095</x:v>
      </x:c>
      <x:c r="AG116" s="12" t="n">
        <x:v>9040454.684144672</x:v>
      </x:c>
      <x:c r="AH116" s="13" t="n">
        <x:v>43409916.37</x:v>
      </x:c>
      <x:c r="AI116" s="13" t="n">
        <x:v>25603</x:v>
      </x:c>
      <x:c r="AJ116" s="13" t="n">
        <x:v>65222.95</x:v>
      </x:c>
      <x:c r="AK116" s="12" t="n">
        <x:v>156197000000</x:v>
      </x:c>
      <x:c r="AL116" s="14" t="n">
        <x:v>0.25009029941509914</x:v>
      </x:c>
      <x:c r="AM116" s="13" t="n">
        <x:v>23</x:v>
      </x:c>
      <x:c r="AN116" s="13" t="n">
        <x:v>27</x:v>
      </x:c>
      <x:c r="AO116" s="14" t="n">
        <x:v>85.18518518518519</x:v>
      </x:c>
      <x:c r="AP116" s="10" t="str">
        <x:v>High</x:v>
      </x:c>
      <x:c r="AQ116" s="10" t="str">
        <x:v>Issuer facility-to-FEMA county match</x:v>
      </x:c>
      <x:c r="AR116" s="14" t="n">
        <x:v>0.25009029941509914</x:v>
      </x:c>
      <x:c r="AS116" s="14" t="n">
        <x:v>7.43690764334572</x:v>
      </x:c>
      <x:c r="AT116" s="14" t="n">
        <x:v>0</x:v>
      </x:c>
      <x:c r="AU116" s="14" t="n">
        <x:v>6.849686675720218</x:v>
      </x:c>
      <x:c r="AV116" s="14" t="n">
        <x:v>2</x:v>
      </x:c>
      <x:c r="AW116" s="10" t="n">
        <x:v>0.5</x:v>
      </x:c>
      <x:c r="AX116" s="10" t="n">
        <x:v>0.7</x:v>
      </x:c>
      <x:c r="AY116" s="10" t="n">
        <x:v>0.25</x:v>
      </x:c>
      <x:c r="AZ116" s="10" t="n">
        <x:v>0.0025</x:v>
      </x:c>
      <x:c r="BA116" s="10" t="n">
        <x:v>0.05</x:v>
      </x:c>
      <x:c r="BB116" s="10" t="n">
        <x:v>0.39</x:v>
      </x:c>
      <x:c r="BC116" s="10" t="n">
        <x:v>0.7</x:v>
      </x:c>
      <x:c r="BD116" s="10" t="n">
        <x:v>0.05</x:v>
      </x:c>
      <x:c r="BE116" s="10" t="n">
        <x:v>0.15</x:v>
      </x:c>
      <x:c r="BF116" s="10" t="n">
        <x:v>1.15</x:v>
      </x:c>
      <x:c r="BG116" s="10" t="n">
        <x:v>0.35</x:v>
      </x:c>
      <x:c r="BH116" s="10" t="n">
        <x:v>2</x:v>
      </x:c>
      <x:c r="BI116" s="10" t="str">
        <x:v>Common scenario elasticity + issuer SEC CapEx/CFO dependency scale</x:v>
      </x:c>
      <x:c r="BJ116" s="10" t="str">
        <x:v>Modeled estimate using observed inputs + disclosed assumptions</x:v>
      </x:c>
      <x:c r="BK116" s="11" t="b">
        <x:v>0</x:v>
      </x:c>
      <x:c r="BL116" s="11" t="b">
        <x:v>0</x:v>
      </x:c>
      <x:c r="BM116" s="11" t="b">
        <x:v>0</x:v>
      </x:c>
      <x:c r="BN116" s="10" t="str">
        <x:v>Conditional scenario sensitivity; not a forecast or probability</x:v>
      </x:c>
      <x:c r="BO116" s="14" t="n">
        <x:v>105.30889764369479</x:v>
      </x:c>
    </x:row>
    <x:row r="117" ht="18" customHeight="1">
      <x:c r="A117" s="10" t="str">
        <x:v>NEE</x:v>
      </x:c>
      <x:c r="B117" s="10" t="str">
        <x:v>Utilities</x:v>
      </x:c>
      <x:c r="C117" s="10" t="str">
        <x:v>fragmented_vs_baseline</x:v>
      </x:c>
      <x:c r="D117" s="10" t="str">
        <x:v>Fragmented World vs baseline</x:v>
      </x:c>
      <x:c r="E117" s="10" t="str">
        <x:v>Fragmented vs baseline</x:v>
      </x:c>
      <x:c r="F117" s="10" t="str">
        <x:v>fragmented_world</x:v>
      </x:c>
      <x:c r="G117" s="10" t="str">
        <x:v>baseline</x:v>
      </x:c>
      <x:c r="H117" s="10" t="n">
        <x:v>2050</x:v>
      </x:c>
      <x:c r="I117" s="10" t="str">
        <x:v>base</x:v>
      </x:c>
      <x:c r="J117" s="11" t="b">
        <x:v>1</x:v>
      </x:c>
      <x:c r="K117" s="10" t="str">
        <x:v>CFP-2026-003-R17-20260804T234500Z</x:v>
      </x:c>
      <x:c r="L117"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7" s="14" t="n">
        <x:v>-11.787203558983684</x:v>
      </x:c>
      <x:c r="N117" s="12" t="n">
        <x:v>207787213356.48944</x:v>
      </x:c>
      <x:c r="O117" s="12" t="n">
        <x:v>183294911548.6203</x:v>
      </x:c>
      <x:c r="P117" s="12" t="n">
        <x:v>16208268485.95464</x:v>
      </x:c>
      <x:c r="Q117" s="12" t="n">
        <x:v>13237345933.595516</x:v>
      </x:c>
      <x:c r="R117" s="12" t="n">
        <x:v>-2970922552.359123</x:v>
      </x:c>
      <x:c r="S117" s="12" t="n">
        <x:v>9879440000</x:v>
      </x:c>
      <x:c r="T117" s="14" t="n">
        <x:v>7.642979522448735</x:v>
      </x:c>
      <x:c r="U117" s="14" t="n">
        <x:v>1.0866931068860501</x:v>
      </x:c>
      <x:c r="V117" s="14" t="n">
        <x:v>9.6</x:v>
      </x:c>
      <x:c r="W117" s="12" t="n">
        <x:v>1238794641.3250248</x:v>
      </x:c>
      <x:c r="X117" s="12" t="n">
        <x:v>176134136.38245305</x:v>
      </x:c>
      <x:c r="Y117" s="12" t="n">
        <x:v>1555993774.6516454</x:v>
      </x:c>
      <x:c r="Z117" s="14" t="n">
        <x:v>-5.192092085301625</x:v>
      </x:c>
      <x:c r="AA117" s="14" t="n">
        <x:v>-0.783602462295189</x:v>
      </x:c>
      <x:c r="AB117" s="14" t="n">
        <x:v>-5.8115090113868675</x:v>
      </x:c>
      <x:c r="AC117" s="12" t="n">
        <x:v>1238417029.8238258</x:v>
      </x:c>
      <x:c r="AD117" s="12" t="n">
        <x:v>365206.7760776869</x:v>
      </x:c>
      <x:c r="AE117" s="12" t="n">
        <x:v>12404.725121158284</x:v>
      </x:c>
      <x:c r="AF117" s="12" t="n">
        <x:v>145999287.43530414</x:v>
      </x:c>
      <x:c r="AG117" s="12" t="n">
        <x:v>30134848.947148908</x:v>
      </x:c>
      <x:c r="AH117" s="13" t="n">
        <x:v>43409916.37</x:v>
      </x:c>
      <x:c r="AI117" s="13" t="n">
        <x:v>25603</x:v>
      </x:c>
      <x:c r="AJ117" s="13" t="n">
        <x:v>65222.95</x:v>
      </x:c>
      <x:c r="AK117" s="12" t="n">
        <x:v>156197000000</x:v>
      </x:c>
      <x:c r="AL117" s="14" t="n">
        <x:v>0.25009029941509914</x:v>
      </x:c>
      <x:c r="AM117" s="13" t="n">
        <x:v>23</x:v>
      </x:c>
      <x:c r="AN117" s="13" t="n">
        <x:v>27</x:v>
      </x:c>
      <x:c r="AO117" s="14" t="n">
        <x:v>85.18518518518519</x:v>
      </x:c>
      <x:c r="AP117" s="10" t="str">
        <x:v>High</x:v>
      </x:c>
      <x:c r="AQ117" s="10" t="str">
        <x:v>Issuer facility-to-FEMA county match</x:v>
      </x:c>
      <x:c r="AR117" s="14" t="n">
        <x:v>0.25009029941509914</x:v>
      </x:c>
      <x:c r="AS117" s="14" t="n">
        <x:v>7.43690764334572</x:v>
      </x:c>
      <x:c r="AT117" s="14" t="n">
        <x:v>0</x:v>
      </x:c>
      <x:c r="AU117" s="14" t="n">
        <x:v>6.849686675720218</x:v>
      </x:c>
      <x:c r="AV117" s="14" t="n">
        <x:v>2</x:v>
      </x:c>
      <x:c r="AW117" s="10" t="n">
        <x:v>0.75</x:v>
      </x:c>
      <x:c r="AX117" s="10" t="n">
        <x:v>0.5</x:v>
      </x:c>
      <x:c r="AY117" s="10" t="n">
        <x:v>0.5</x:v>
      </x:c>
      <x:c r="AZ117" s="10" t="n">
        <x:v>0.005</x:v>
      </x:c>
      <x:c r="BA117" s="10" t="n">
        <x:v>0.03</x:v>
      </x:c>
      <x:c r="BB117" s="10" t="n">
        <x:v>0.65</x:v>
      </x:c>
      <x:c r="BC117" s="10" t="n">
        <x:v>0.5</x:v>
      </x:c>
      <x:c r="BD117" s="10" t="n">
        <x:v>0.1</x:v>
      </x:c>
      <x:c r="BE117" s="10" t="n">
        <x:v>0.25</x:v>
      </x:c>
      <x:c r="BF117" s="10" t="n">
        <x:v>1.15</x:v>
      </x:c>
      <x:c r="BG117" s="10" t="n">
        <x:v>0.6</x:v>
      </x:c>
      <x:c r="BH117" s="10" t="n">
        <x:v>2</x:v>
      </x:c>
      <x:c r="BI117" s="10" t="str">
        <x:v>Common scenario elasticity + issuer SEC CapEx/CFO dependency scale</x:v>
      </x:c>
      <x:c r="BJ117" s="10" t="str">
        <x:v>Modeled estimate using observed inputs + disclosed assumptions</x:v>
      </x:c>
      <x:c r="BK117" s="11" t="b">
        <x:v>0</x:v>
      </x:c>
      <x:c r="BL117" s="11" t="b">
        <x:v>0</x:v>
      </x:c>
      <x:c r="BM117" s="11" t="b">
        <x:v>0</x:v>
      </x:c>
      <x:c r="BN117" s="10" t="str">
        <x:v>Conditional scenario sensitivity; not a forecast or probability</x:v>
      </x:c>
      <x:c r="BO117" s="14" t="n">
        <x:v>113.36223771895185</x:v>
      </x:c>
    </x:row>
    <x:row r="118" ht="18" customHeight="1">
      <x:c r="A118" s="10" t="str">
        <x:v>NEE</x:v>
      </x:c>
      <x:c r="B118" s="10" t="str">
        <x:v>Utilities</x:v>
      </x:c>
      <x:c r="C118" s="10" t="str">
        <x:v>fragmented_vs_baseline</x:v>
      </x:c>
      <x:c r="D118" s="10" t="str">
        <x:v>Fragmented World vs baseline</x:v>
      </x:c>
      <x:c r="E118" s="10" t="str">
        <x:v>Fragmented vs baseline</x:v>
      </x:c>
      <x:c r="F118" s="10" t="str">
        <x:v>fragmented_world</x:v>
      </x:c>
      <x:c r="G118" s="10" t="str">
        <x:v>baseline</x:v>
      </x:c>
      <x:c r="H118" s="10" t="n">
        <x:v>2050</x:v>
      </x:c>
      <x:c r="I118" s="10" t="str">
        <x:v>high</x:v>
      </x:c>
      <x:c r="J118" s="11" t="b">
        <x:v>1</x:v>
      </x:c>
      <x:c r="K118" s="10" t="str">
        <x:v>CFP-2026-003-R17-20260804T234500Z</x:v>
      </x:c>
      <x:c r="L118"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8" s="14" t="n">
        <x:v>-26.088922882016007</x:v>
      </x:c>
      <x:c r="N118" s="12" t="n">
        <x:v>207787213356.48944</x:v>
      </x:c>
      <x:c r="O118" s="12" t="n">
        <x:v>153577767505.22485</x:v>
      </x:c>
      <x:c r="P118" s="12" t="n">
        <x:v>16208268485.95464</x:v>
      </x:c>
      <x:c r="Q118" s="12" t="n">
        <x:v>9390287030.842604</x:v>
      </x:c>
      <x:c r="R118" s="12" t="n">
        <x:v>-6817981455.112036</x:v>
      </x:c>
      <x:c r="S118" s="12" t="n">
        <x:v>9879440000</x:v>
      </x:c>
      <x:c r="T118" s="14" t="n">
        <x:v>23.767426673699983</x:v>
      </x:c>
      <x:c r="U118" s="14" t="n">
        <x:v>2.297408697334207</x:v>
      </x:c>
      <x:c r="V118" s="14" t="n">
        <x:v>16</x:v>
      </x:c>
      <x:c r="W118" s="12" t="n">
        <x:v>3852288327.475692</x:v>
      </x:c>
      <x:c r="X118" s="12" t="n">
        <x:v>372370169.8836013</x:v>
      </x:c>
      <x:c r="Y118" s="12" t="n">
        <x:v>2593322957.7527423</x:v>
      </x:c>
      <x:c r="Z118" s="14" t="n">
        <x:v>-14.68701825045175</x:v>
      </x:c>
      <x:c r="AA118" s="14" t="n">
        <x:v>-1.7160562792528158</x:v>
      </x:c>
      <x:c r="AB118" s="14" t="n">
        <x:v>-9.685848352311439</x:v>
      </x:c>
      <x:c r="AC118" s="12" t="n">
        <x:v>3850527204.2155437</x:v>
      </x:c>
      <x:c r="AD118" s="12" t="n">
        <x:v>1703269.4874815752</x:v>
      </x:c>
      <x:c r="AE118" s="12" t="n">
        <x:v>57853.77266650336</x:v>
      </x:c>
      <x:c r="AF118" s="12" t="n">
        <x:v>275938653.25272477</x:v>
      </x:c>
      <x:c r="AG118" s="12" t="n">
        <x:v>96431516.63087653</x:v>
      </x:c>
      <x:c r="AH118" s="13" t="n">
        <x:v>43409916.37</x:v>
      </x:c>
      <x:c r="AI118" s="13" t="n">
        <x:v>25603</x:v>
      </x:c>
      <x:c r="AJ118" s="13" t="n">
        <x:v>65222.95</x:v>
      </x:c>
      <x:c r="AK118" s="12" t="n">
        <x:v>156197000000</x:v>
      </x:c>
      <x:c r="AL118" s="14" t="n">
        <x:v>0.25009029941509914</x:v>
      </x:c>
      <x:c r="AM118" s="13" t="n">
        <x:v>23</x:v>
      </x:c>
      <x:c r="AN118" s="13" t="n">
        <x:v>27</x:v>
      </x:c>
      <x:c r="AO118" s="14" t="n">
        <x:v>85.18518518518519</x:v>
      </x:c>
      <x:c r="AP118" s="10" t="str">
        <x:v>High</x:v>
      </x:c>
      <x:c r="AQ118" s="10" t="str">
        <x:v>Issuer facility-to-FEMA county match</x:v>
      </x:c>
      <x:c r="AR118" s="14" t="n">
        <x:v>0.25009029941509914</x:v>
      </x:c>
      <x:c r="AS118" s="14" t="n">
        <x:v>7.43690764334572</x:v>
      </x:c>
      <x:c r="AT118" s="14" t="n">
        <x:v>0</x:v>
      </x:c>
      <x:c r="AU118" s="14" t="n">
        <x:v>6.849686675720218</x:v>
      </x:c>
      <x:c r="AV118" s="14" t="n">
        <x:v>2</x:v>
      </x:c>
      <x:c r="AW118" s="10" t="n">
        <x:v>1</x:v>
      </x:c>
      <x:c r="AX118" s="10" t="n">
        <x:v>0.3</x:v>
      </x:c>
      <x:c r="AY118" s="10" t="n">
        <x:v>0.75</x:v>
      </x:c>
      <x:c r="AZ118" s="10" t="n">
        <x:v>0.01</x:v>
      </x:c>
      <x:c r="BA118" s="10" t="n">
        <x:v>0.01</x:v>
      </x:c>
      <x:c r="BB118" s="10" t="n">
        <x:v>0.8775000000000001</x:v>
      </x:c>
      <x:c r="BC118" s="10" t="n">
        <x:v>0.3</x:v>
      </x:c>
      <x:c r="BD118" s="10" t="n">
        <x:v>0.2</x:v>
      </x:c>
      <x:c r="BE118" s="10" t="n">
        <x:v>0.4</x:v>
      </x:c>
      <x:c r="BF118" s="10" t="n">
        <x:v>1.15</x:v>
      </x:c>
      <x:c r="BG118" s="10" t="n">
        <x:v>1</x:v>
      </x:c>
      <x:c r="BH118" s="10" t="n">
        <x:v>2</x:v>
      </x:c>
      <x:c r="BI118" s="10" t="str">
        <x:v>Common scenario elasticity + issuer SEC CapEx/CFO dependency scale</x:v>
      </x:c>
      <x:c r="BJ118" s="10" t="str">
        <x:v>Modeled estimate using observed inputs + disclosed assumptions</x:v>
      </x:c>
      <x:c r="BK118" s="11" t="b">
        <x:v>0</x:v>
      </x:c>
      <x:c r="BL118" s="11" t="b">
        <x:v>0</x:v>
      </x:c>
      <x:c r="BM118" s="11" t="b">
        <x:v>0</x:v>
      </x:c>
      <x:c r="BN118" s="10" t="str">
        <x:v>Conditional scenario sensitivity; not a forecast or probability</x:v>
      </x:c>
      <x:c r="BO118" s="14" t="n">
        <x:v>135.2977170666453</x:v>
      </x:c>
    </x:row>
    <x:row r="119" ht="18" customHeight="1">
      <x:c r="A119" s="10" t="str">
        <x:v>XOM</x:v>
      </x:c>
      <x:c r="B119" s="10" t="str">
        <x:v>Energy</x:v>
      </x:c>
      <x:c r="C119" s="10" t="str">
        <x:v>fragmented_vs_baseline</x:v>
      </x:c>
      <x:c r="D119" s="10" t="str">
        <x:v>Fragmented World vs baseline</x:v>
      </x:c>
      <x:c r="E119" s="10" t="str">
        <x:v>Fragmented vs baseline</x:v>
      </x:c>
      <x:c r="F119" s="10" t="str">
        <x:v>fragmented_world</x:v>
      </x:c>
      <x:c r="G119" s="10" t="str">
        <x:v>baseline</x:v>
      </x:c>
      <x:c r="H119" s="10" t="n">
        <x:v>2050</x:v>
      </x:c>
      <x:c r="I119" s="10" t="str">
        <x:v>low</x:v>
      </x:c>
      <x:c r="J119" s="11" t="b">
        <x:v>1</x:v>
      </x:c>
      <x:c r="K119" s="10" t="str">
        <x:v>CFP-2026-003-R17-20260804T234500Z</x:v>
      </x:c>
      <x:c r="L119"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19" s="14" t="n">
        <x:v>-3.7131230207111177</x:v>
      </x:c>
      <x:c r="N119" s="12" t="n">
        <x:v>676608329467.1913</x:v>
      </x:c>
      <x:c r="O119" s="12" t="n">
        <x:v>651485029825.696</x:v>
      </x:c>
      <x:c r="P119" s="12" t="n">
        <x:v>37562427566.9594</x:v>
      </x:c>
      <x:c r="Q119" s="12" t="n">
        <x:v>35660159011.629</x:v>
      </x:c>
      <x:c r="R119" s="12" t="n">
        <x:v>-1902268555.3303986</x:v>
      </x:c>
      <x:c r="S119" s="12" t="n">
        <x:v>24046905786.56586</x:v>
      </x:c>
      <x:c r="T119" s="14" t="n">
        <x:v>1.9424720138634337</x:v>
      </x:c>
      <x:c r="U119" s="14" t="n">
        <x:v>0.19396275675089353</x:v>
      </x:c>
      <x:c r="V119" s="14" t="n">
        <x:v>2.9278506830863957</x:v>
      </x:c>
      <x:c r="W119" s="12" t="n">
        <x:v>729639643.2159097</x:v>
      </x:c>
      <x:c r="X119" s="12" t="n">
        <x:v>72857120.01143202</x:v>
      </x:c>
      <x:c r="Y119" s="12" t="n">
        <x:v>1099771792.1030533</x:v>
      </x:c>
      <x:c r="Z119" s="14" t="n">
        <x:v>-1.5711893856599557</x:v>
      </x:c>
      <x:c r="AA119" s="14" t="n">
        <x:v>-0.15478773976860352</x:v>
      </x:c>
      <x:c r="AB119" s="14" t="n">
        <x:v>-1.9871458952825636</x:v>
      </x:c>
      <x:c r="AC119" s="12" t="n">
        <x:v>704965838.8559514</x:v>
      </x:c>
      <x:c r="AD119" s="12" t="n">
        <x:v>11862405.942287646</x:v>
      </x:c>
      <x:c r="AE119" s="12" t="n">
        <x:v>12811398.417670654</x:v>
      </x:c>
      <x:c r="AF119" s="12" t="n">
        <x:v>51905997.1607815</x:v>
      </x:c>
      <x:c r="AG119" s="12" t="n">
        <x:v>20951122.850650527</x:v>
      </x:c>
      <x:c r="AH119" s="13" t="n">
        <x:v>104000000</x:v>
      </x:c>
      <x:c r="AI119" s="13" t="n">
        <x:v>7000000</x:v>
      </x:c>
      <x:c r="AJ119" s="13" t="n">
        <x:v>630000000</x:v>
      </x:c>
      <x:c r="AK119" s="12" t="n">
        <x:v>299373000000</x:v>
      </x:c>
      <x:c r="AL119" s="14" t="n">
        <x:v>0.18613243120519987</x:v>
      </x:c>
      <x:c r="AM119" s="13" t="n">
        <x:v>49</x:v>
      </x:c>
      <x:c r="AN119" s="13" t="n">
        <x:v>68</x:v>
      </x:c>
      <x:c r="AO119" s="14" t="n">
        <x:v>72.05882352941177</x:v>
      </x:c>
      <x:c r="AP119" s="10" t="str">
        <x:v>Medium</x:v>
      </x:c>
      <x:c r="AQ119" s="10" t="str">
        <x:v>Issuer facility-to-FEMA county match</x:v>
      </x:c>
      <x:c r="AR119" s="14" t="n">
        <x:v>0.18613243120519987</x:v>
      </x:c>
      <x:c r="AS119" s="14" t="n">
        <x:v>7.43690764334572</x:v>
      </x:c>
      <x:c r="AT119" s="14" t="n">
        <x:v>0</x:v>
      </x:c>
      <x:c r="AU119" s="14" t="n">
        <x:v>5.418008975739499</x:v>
      </x:c>
      <x:c r="AV119" s="14" t="n">
        <x:v>1.7999999999999998</x:v>
      </x:c>
      <x:c r="AW119" s="10" t="n">
        <x:v>0.5</x:v>
      </x:c>
      <x:c r="AX119" s="10" t="n">
        <x:v>0.7</x:v>
      </x:c>
      <x:c r="AY119" s="10" t="n">
        <x:v>0.25</x:v>
      </x:c>
      <x:c r="AZ119" s="10" t="n">
        <x:v>0.0015</x:v>
      </x:c>
      <x:c r="BA119" s="10" t="n">
        <x:v>0.05</x:v>
      </x:c>
      <x:c r="BB119" s="10" t="n">
        <x:v>0.27</x:v>
      </x:c>
      <x:c r="BC119" s="10" t="n">
        <x:v>0.7</x:v>
      </x:c>
      <x:c r="BD119" s="10" t="n">
        <x:v>0.05</x:v>
      </x:c>
      <x:c r="BE119" s="10" t="n">
        <x:v>0.15</x:v>
      </x:c>
      <x:c r="BF119" s="10" t="n">
        <x:v>1.15</x:v>
      </x:c>
      <x:c r="BG119" s="10" t="n">
        <x:v>0.35</x:v>
      </x:c>
      <x:c r="BH119" s="10" t="n">
        <x:v>1.0456609582451413</x:v>
      </x:c>
      <x:c r="BI119" s="10" t="str">
        <x:v>Common scenario elasticity + issuer SEC CapEx/CFO dependency scale</x:v>
      </x:c>
      <x:c r="BJ119" s="10" t="str">
        <x:v>Modeled estimate using observed inputs + disclosed assumptions</x:v>
      </x:c>
      <x:c r="BK119" s="11" t="b">
        <x:v>0</x:v>
      </x:c>
      <x:c r="BL119" s="11" t="b">
        <x:v>0</x:v>
      </x:c>
      <x:c r="BM119" s="11" t="b">
        <x:v>0</x:v>
      </x:c>
      <x:c r="BN119" s="10" t="str">
        <x:v>Conditional scenario sensitivity; not a forecast or probability</x:v>
      </x:c>
      <x:c r="BO119" s="14" t="n">
        <x:v>103.85631265360264</x:v>
      </x:c>
    </x:row>
    <x:row r="120" ht="18" customHeight="1">
      <x:c r="A120" s="10" t="str">
        <x:v>XOM</x:v>
      </x:c>
      <x:c r="B120" s="10" t="str">
        <x:v>Energy</x:v>
      </x:c>
      <x:c r="C120" s="10" t="str">
        <x:v>fragmented_vs_baseline</x:v>
      </x:c>
      <x:c r="D120" s="10" t="str">
        <x:v>Fragmented World vs baseline</x:v>
      </x:c>
      <x:c r="E120" s="10" t="str">
        <x:v>Fragmented vs baseline</x:v>
      </x:c>
      <x:c r="F120" s="10" t="str">
        <x:v>fragmented_world</x:v>
      </x:c>
      <x:c r="G120" s="10" t="str">
        <x:v>baseline</x:v>
      </x:c>
      <x:c r="H120" s="10" t="n">
        <x:v>2050</x:v>
      </x:c>
      <x:c r="I120" s="10" t="str">
        <x:v>base</x:v>
      </x:c>
      <x:c r="J120" s="11" t="b">
        <x:v>1</x:v>
      </x:c>
      <x:c r="K120" s="10" t="str">
        <x:v>CFP-2026-003-R17-20260804T234500Z</x:v>
      </x:c>
      <x:c r="L120"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20" s="14" t="n">
        <x:v>-10.056203938444908</x:v>
      </x:c>
      <x:c r="N120" s="12" t="n">
        <x:v>676608329467.1913</x:v>
      </x:c>
      <x:c r="O120" s="12" t="n">
        <x:v>608567215991.4653</x:v>
      </x:c>
      <x:c r="P120" s="12" t="n">
        <x:v>37562427566.9594</x:v>
      </x:c>
      <x:c r="Q120" s="12" t="n">
        <x:v>32324385541.898518</x:v>
      </x:c>
      <x:c r="R120" s="12" t="n">
        <x:v>-5238042025.060879</x:v>
      </x:c>
      <x:c r="S120" s="12" t="n">
        <x:v>24046905786.56586</x:v>
      </x:c>
      <x:c r="T120" s="14" t="n">
        <x:v>8.355952356044272</x:v>
      </x:c>
      <x:c r="U120" s="14" t="n">
        <x:v>0.5697725505997557</x:v>
      </x:c>
      <x:c r="V120" s="14" t="n">
        <x:v>5.019172599576678</x:v>
      </x:c>
      <x:c r="W120" s="12" t="n">
        <x:v>3138698551.268767</x:v>
      </x:c>
      <x:c r="X120" s="12" t="n">
        <x:v>214020401.61545032</x:v>
      </x:c>
      <x:c r="Y120" s="12" t="n">
        <x:v>1885323072.1766627</x:v>
      </x:c>
      <x:c r="Z120" s="14" t="n">
        <x:v>-6.189591968087767</x:v>
      </x:c>
      <x:c r="AA120" s="14" t="n">
        <x:v>-0.4600761498727236</x:v>
      </x:c>
      <x:c r="AB120" s="14" t="n">
        <x:v>-3.4065358204844105</x:v>
      </x:c>
      <x:c r="AC120" s="12" t="n">
        <x:v>2966957365.3149586</x:v>
      </x:c>
      <x:c r="AD120" s="12" t="n">
        <x:v>99849526.71733034</x:v>
      </x:c>
      <x:c r="AE120" s="12" t="n">
        <x:v>71891659.23647784</x:v>
      </x:c>
      <x:c r="AF120" s="12" t="n">
        <x:v>144183325.44661525</x:v>
      </x:c>
      <x:c r="AG120" s="12" t="n">
        <x:v>69837076.16883509</x:v>
      </x:c>
      <x:c r="AH120" s="13" t="n">
        <x:v>104000000</x:v>
      </x:c>
      <x:c r="AI120" s="13" t="n">
        <x:v>7000000</x:v>
      </x:c>
      <x:c r="AJ120" s="13" t="n">
        <x:v>630000000</x:v>
      </x:c>
      <x:c r="AK120" s="12" t="n">
        <x:v>299373000000</x:v>
      </x:c>
      <x:c r="AL120" s="14" t="n">
        <x:v>0.18613243120519987</x:v>
      </x:c>
      <x:c r="AM120" s="13" t="n">
        <x:v>49</x:v>
      </x:c>
      <x:c r="AN120" s="13" t="n">
        <x:v>68</x:v>
      </x:c>
      <x:c r="AO120" s="14" t="n">
        <x:v>72.05882352941177</x:v>
      </x:c>
      <x:c r="AP120" s="10" t="str">
        <x:v>Medium</x:v>
      </x:c>
      <x:c r="AQ120" s="10" t="str">
        <x:v>Issuer facility-to-FEMA county match</x:v>
      </x:c>
      <x:c r="AR120" s="14" t="n">
        <x:v>0.18613243120519987</x:v>
      </x:c>
      <x:c r="AS120" s="14" t="n">
        <x:v>7.43690764334572</x:v>
      </x:c>
      <x:c r="AT120" s="14" t="n">
        <x:v>0</x:v>
      </x:c>
      <x:c r="AU120" s="14" t="n">
        <x:v>5.418008975739499</x:v>
      </x:c>
      <x:c r="AV120" s="14" t="n">
        <x:v>1.7999999999999998</x:v>
      </x:c>
      <x:c r="AW120" s="10" t="n">
        <x:v>0.75</x:v>
      </x:c>
      <x:c r="AX120" s="10" t="n">
        <x:v>0.5</x:v>
      </x:c>
      <x:c r="AY120" s="10" t="n">
        <x:v>0.5</x:v>
      </x:c>
      <x:c r="AZ120" s="10" t="n">
        <x:v>0.003</x:v>
      </x:c>
      <x:c r="BA120" s="10" t="n">
        <x:v>0.03</x:v>
      </x:c>
      <x:c r="BB120" s="10" t="n">
        <x:v>0.45</x:v>
      </x:c>
      <x:c r="BC120" s="10" t="n">
        <x:v>0.5</x:v>
      </x:c>
      <x:c r="BD120" s="10" t="n">
        <x:v>0.1</x:v>
      </x:c>
      <x:c r="BE120" s="10" t="n">
        <x:v>0.25</x:v>
      </x:c>
      <x:c r="BF120" s="10" t="n">
        <x:v>1.15</x:v>
      </x:c>
      <x:c r="BG120" s="10" t="n">
        <x:v>0.6</x:v>
      </x:c>
      <x:c r="BH120" s="10" t="n">
        <x:v>1.0456609582451413</x:v>
      </x:c>
      <x:c r="BI120" s="10" t="str">
        <x:v>Common scenario elasticity + issuer SEC CapEx/CFO dependency scale</x:v>
      </x:c>
      <x:c r="BJ120" s="10" t="str">
        <x:v>Modeled estimate using observed inputs + disclosed assumptions</x:v>
      </x:c>
      <x:c r="BK120" s="11" t="b">
        <x:v>0</x:v>
      </x:c>
      <x:c r="BL120" s="11" t="b">
        <x:v>0</x:v>
      </x:c>
      <x:c r="BM120" s="11" t="b">
        <x:v>0</x:v>
      </x:c>
      <x:c r="BN120" s="10" t="str">
        <x:v>Conditional scenario sensitivity; not a forecast or probability</x:v>
      </x:c>
      <x:c r="BO120" s="14" t="n">
        <x:v>111.18054204823945</x:v>
      </x:c>
    </x:row>
    <x:row r="121" ht="18" customHeight="1">
      <x:c r="A121" s="10" t="str">
        <x:v>XOM</x:v>
      </x:c>
      <x:c r="B121" s="10" t="str">
        <x:v>Energy</x:v>
      </x:c>
      <x:c r="C121" s="10" t="str">
        <x:v>fragmented_vs_baseline</x:v>
      </x:c>
      <x:c r="D121" s="10" t="str">
        <x:v>Fragmented World vs baseline</x:v>
      </x:c>
      <x:c r="E121" s="10" t="str">
        <x:v>Fragmented vs baseline</x:v>
      </x:c>
      <x:c r="F121" s="10" t="str">
        <x:v>fragmented_world</x:v>
      </x:c>
      <x:c r="G121" s="10" t="str">
        <x:v>baseline</x:v>
      </x:c>
      <x:c r="H121" s="10" t="n">
        <x:v>2050</x:v>
      </x:c>
      <x:c r="I121" s="10" t="str">
        <x:v>high</x:v>
      </x:c>
      <x:c r="J121" s="11" t="b">
        <x:v>1</x:v>
      </x:c>
      <x:c r="K121" s="10" t="str">
        <x:v>CFP-2026-003-R17-20260804T234500Z</x:v>
      </x:c>
      <x:c r="L121" s="10" t="str">
        <x:v>Prototype DCF completed with reported Scope 1/2/3, SEC PP&amp;E, FEMA expected annual loss rates, NGFS/CIE pathways, and disclosed Low/Base/High financial-conversion assumptions; issuer facility exposure is not fully verified; no automatic trade, audited valuation, price target, forecast return, or probability</x:v>
      </x:c>
      <x:c r="M121" s="14" t="n">
        <x:v>-25.163984113183268</x:v>
      </x:c>
      <x:c r="N121" s="12" t="n">
        <x:v>676608329467.1913</x:v>
      </x:c>
      <x:c r="O121" s="12" t="n">
        <x:v>506346716931.5925</x:v>
      </x:c>
      <x:c r="P121" s="12" t="n">
        <x:v>37562427566.9594</x:v>
      </x:c>
      <x:c r="Q121" s="12" t="n">
        <x:v>23898300244.308342</x:v>
      </x:c>
      <x:c r="R121" s="12" t="n">
        <x:v>-13664127322.651054</x:v>
      </x:c>
      <x:c r="S121" s="12" t="n">
        <x:v>24046905786.56586</x:v>
      </x:c>
      <x:c r="T121" s="14" t="n">
        <x:v>26.691398088288736</x:v>
      </x:c>
      <x:c r="U121" s="14" t="n">
        <x:v>1.3204288459531106</x:v>
      </x:c>
      <x:c r="V121" s="14" t="n">
        <x:v>8.36528766596113</x:v>
      </x:c>
      <x:c r="W121" s="12" t="n">
        <x:v>10025937073.522242</x:v>
      </x:c>
      <x:c r="X121" s="12" t="n">
        <x:v>495985128.834375</x:v>
      </x:c>
      <x:c r="Y121" s="12" t="n">
        <x:v>3142205120.294438</x:v>
      </x:c>
      <x:c r="Z121" s="14" t="n">
        <x:v>-18.38021426939823</x:v>
      </x:c>
      <x:c r="AA121" s="14" t="n">
        <x:v>-1.1062101429776925</x:v>
      </x:c>
      <x:c r="AB121" s="14" t="n">
        <x:v>-5.677559700807347</x:v>
      </x:c>
      <x:c r="AC121" s="12" t="n">
        <x:v>9224962006.956676</x:v>
      </x:c>
      <x:c r="AD121" s="12" t="n">
        <x:v>465683178.2357937</x:v>
      </x:c>
      <x:c r="AE121" s="12" t="n">
        <x:v>335291888.32977146</x:v>
      </x:c>
      <x:c r="AF121" s="12" t="n">
        <x:v>272506485.09410274</x:v>
      </x:c>
      <x:c r="AG121" s="12" t="n">
        <x:v>223478643.7402723</x:v>
      </x:c>
      <x:c r="AH121" s="13" t="n">
        <x:v>104000000</x:v>
      </x:c>
      <x:c r="AI121" s="13" t="n">
        <x:v>7000000</x:v>
      </x:c>
      <x:c r="AJ121" s="13" t="n">
        <x:v>630000000</x:v>
      </x:c>
      <x:c r="AK121" s="12" t="n">
        <x:v>299373000000</x:v>
      </x:c>
      <x:c r="AL121" s="14" t="n">
        <x:v>0.18613243120519987</x:v>
      </x:c>
      <x:c r="AM121" s="13" t="n">
        <x:v>49</x:v>
      </x:c>
      <x:c r="AN121" s="13" t="n">
        <x:v>68</x:v>
      </x:c>
      <x:c r="AO121" s="14" t="n">
        <x:v>72.05882352941177</x:v>
      </x:c>
      <x:c r="AP121" s="10" t="str">
        <x:v>Medium</x:v>
      </x:c>
      <x:c r="AQ121" s="10" t="str">
        <x:v>Issuer facility-to-FEMA county match</x:v>
      </x:c>
      <x:c r="AR121" s="14" t="n">
        <x:v>0.18613243120519987</x:v>
      </x:c>
      <x:c r="AS121" s="14" t="n">
        <x:v>7.43690764334572</x:v>
      </x:c>
      <x:c r="AT121" s="14" t="n">
        <x:v>0</x:v>
      </x:c>
      <x:c r="AU121" s="14" t="n">
        <x:v>5.418008975739499</x:v>
      </x:c>
      <x:c r="AV121" s="14" t="n">
        <x:v>1.7999999999999998</x:v>
      </x:c>
      <x:c r="AW121" s="10" t="n">
        <x:v>1</x:v>
      </x:c>
      <x:c r="AX121" s="10" t="n">
        <x:v>0.3</x:v>
      </x:c>
      <x:c r="AY121" s="10" t="n">
        <x:v>0.75</x:v>
      </x:c>
      <x:c r="AZ121" s="10" t="n">
        <x:v>0.006</x:v>
      </x:c>
      <x:c r="BA121" s="10" t="n">
        <x:v>0.01</x:v>
      </x:c>
      <x:c r="BB121" s="10" t="n">
        <x:v>0.6075</x:v>
      </x:c>
      <x:c r="BC121" s="10" t="n">
        <x:v>0.3</x:v>
      </x:c>
      <x:c r="BD121" s="10" t="n">
        <x:v>0.2</x:v>
      </x:c>
      <x:c r="BE121" s="10" t="n">
        <x:v>0.4</x:v>
      </x:c>
      <x:c r="BF121" s="10" t="n">
        <x:v>1.15</x:v>
      </x:c>
      <x:c r="BG121" s="10" t="n">
        <x:v>1</x:v>
      </x:c>
      <x:c r="BH121" s="10" t="n">
        <x:v>1.0456609582451413</x:v>
      </x:c>
      <x:c r="BI121" s="10" t="str">
        <x:v>Common scenario elasticity + issuer SEC CapEx/CFO dependency scale</x:v>
      </x:c>
      <x:c r="BJ121" s="10" t="str">
        <x:v>Modeled estimate using observed inputs + disclosed assumptions</x:v>
      </x:c>
      <x:c r="BK121" s="11" t="b">
        <x:v>0</x:v>
      </x:c>
      <x:c r="BL121" s="11" t="b">
        <x:v>0</x:v>
      </x:c>
      <x:c r="BM121" s="11" t="b">
        <x:v>0</x:v>
      </x:c>
      <x:c r="BN121" s="10" t="str">
        <x:v>Conditional scenario sensitivity; not a forecast or probability</x:v>
      </x:c>
      <x:c r="BO121" s="14" t="n">
        <x:v>133.6254994536878</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4" hidden="0" customWidth="1"/>
    <x:col min="4" max="4" width="34" hidden="0" customWidth="1"/>
    <x:col min="5" max="5" width="29" hidden="0" customWidth="1"/>
    <x:col min="6" max="6" width="18" hidden="0" customWidth="1"/>
    <x:col min="7" max="7" width="18" hidden="0" customWidth="1"/>
    <x:col min="8" max="8" width="30" hidden="0" customWidth="1"/>
  </x:cols>
  <x:sheetData>
    <x:row r="1" ht="30" customHeight="1">
      <x:c r="A1" s="117" t="str">
        <x:v>Engine Repair - calculation changes and remaining assumptions</x:v>
      </x:c>
      <x:c r="B1" s="117"/>
      <x:c r="C1" s="117"/>
      <x:c r="D1" s="117"/>
      <x:c r="E1" s="117"/>
      <x:c r="F1" s="117"/>
      <x:c r="G1" s="117"/>
      <x:c r="H1" s="117"/>
    </x:row>
    <x:row r="2" ht="32" customHeight="1">
      <x:c r="A2" s="120" t="str">
        <x:v>Implemented in the local source engine under CFP-2026-003 Increment 13. Model stage remains research prototype / LIMITED.</x:v>
      </x:c>
      <x:c r="B2" s="120"/>
      <x:c r="C2" s="120"/>
      <x:c r="D2" s="120"/>
      <x:c r="E2" s="120"/>
      <x:c r="F2" s="120"/>
      <x:c r="G2" s="120"/>
      <x:c r="H2" s="120"/>
    </x:row>
    <x:row r="4" ht="30" customHeight="1">
      <x:c r="A4" s="123" t="str">
        <x:v>Area</x:v>
      </x:c>
      <x:c r="B4" s="123" t="str">
        <x:v>Repair applied</x:v>
      </x:c>
      <x:c r="C4" s="123" t="str">
        <x:v>Formula / output</x:v>
      </x:c>
      <x:c r="D4" s="123" t="str">
        <x:v>Remaining input gap</x:v>
      </x:c>
      <x:c r="E4" s="123" t="str">
        <x:v>Required display</x:v>
      </x:c>
      <x:c r="F4" s="123" t="str">
        <x:v>Engineering status</x:v>
      </x:c>
      <x:c r="G4" s="123" t="str">
        <x:v>Investment status</x:v>
      </x:c>
      <x:c r="H4" s="123" t="str">
        <x:v>Owner / next action</x:v>
      </x:c>
    </x:row>
    <x:row r="5">
      <x:c r="A5" s="151" t="str">
        <x:v>Transition</x:v>
      </x:c>
      <x:c r="B5" s="143" t="str">
        <x:v>Target and reference annual costs retained separately; pass-through applied once</x:v>
      </x:c>
      <x:c r="C5" s="143" t="str">
        <x:v>Net pressure(t) = net cost target(t) - net cost reference(t)</x:v>
      </x:c>
      <x:c r="D5" s="143" t="str">
        <x:v>Policy coverage, incidence, free allocation, pass-through and future emissions decline</x:v>
      </x:c>
      <x:c r="E5" s="143" t="str">
        <x:v>Prototype demonstration assumption - not issuer-observed</x:v>
      </x:c>
      <x:c r="F5" s="154" t="str">
        <x:v>Implemented / tested</x:v>
      </x:c>
      <x:c r="G5" s="157" t="str">
        <x:v>Research-only</x:v>
      </x:c>
      <x:c r="H5" s="144" t="str">
        <x:v>Estimate jurisdiction-specific incidence</x:v>
      </x:c>
    </x:row>
    <x:row r="6">
      <x:c r="A6" s="152" t="str">
        <x:v>Annual FCFF</x:v>
      </x:c>
      <x:c r="B6" s="146" t="str">
        <x:v>Annual baseline, channel pressures, gross/post-floor FCFF, discount factor and PV returned</x:v>
      </x:c>
      <x:c r="C6" s="146" t="str">
        <x:v>Scenario FCFF(t) = reference FCFF(t) - transition - physical - macro/supply</x:v>
      </x:c>
      <x:c r="D6" s="146" t="str">
        <x:v>Annual operating growth path is not issuer guidance</x:v>
      </x:c>
      <x:c r="E6" s="146" t="str">
        <x:v>Prototype demonstration path</x:v>
      </x:c>
      <x:c r="F6" s="155" t="str">
        <x:v>Implemented / tested</x:v>
      </x:c>
      <x:c r="G6" s="158" t="str">
        <x:v>Research-only</x:v>
      </x:c>
      <x:c r="H6" s="147" t="str">
        <x:v>Replace with analyst/issuer forecast</x:v>
      </x:c>
    </x:row>
    <x:row r="7">
      <x:c r="A7" s="152" t="str">
        <x:v>FCFF basis</x:v>
      </x:c>
      <x:c r="B7" s="146" t="str">
        <x:v>Unlevered approximation is identified and source status retained</x:v>
      </x:c>
      <x:c r="C7" s="146" t="str">
        <x:v>CFO - CapEx + after-tax interest</x:v>
      </x:c>
      <x:c r="D7" s="146" t="str">
        <x:v>Maintenance CapEx split can be unavailable</x:v>
      </x:c>
      <x:c r="E7" s="146" t="str">
        <x:v>Internally calculated approximation or demo assumption</x:v>
      </x:c>
      <x:c r="F7" s="155" t="str">
        <x:v>Implemented / tested</x:v>
      </x:c>
      <x:c r="G7" s="158" t="str">
        <x:v>Research-only</x:v>
      </x:c>
      <x:c r="H7" s="147" t="str">
        <x:v>Reconcile DUK/NEE CapEx periods</x:v>
      </x:c>
    </x:row>
    <x:row r="8">
      <x:c r="A8" s="152" t="str">
        <x:v>Physical</x:v>
      </x:c>
      <x:c r="B8" s="146" t="str">
        <x:v>Issuer FEMA evidence separated from fallback; proxy result gates ranking</x:v>
      </x:c>
      <x:c r="C8" s="146" t="str">
        <x:v>Acute + chronic financial pressure</x:v>
      </x:c>
      <x:c r="D8" s="146" t="str">
        <x:v>Covered PP&amp;E, damage conversion, recovery and chronic conversion</x:v>
      </x:c>
      <x:c r="E8" s="146" t="str">
        <x:v>Prototype demonstration assumption - not issuer-observed</x:v>
      </x:c>
      <x:c r="F8" s="155" t="str">
        <x:v>Implemented / tested</x:v>
      </x:c>
      <x:c r="G8" s="158" t="str">
        <x:v>Research-only</x:v>
      </x:c>
      <x:c r="H8" s="147" t="str">
        <x:v>Obtain facility economic weights and damage functions</x:v>
      </x:c>
    </x:row>
    <x:row r="9">
      <x:c r="A9" s="152" t="str">
        <x:v>Macro / supply</x:v>
      </x:c>
      <x:c r="B9" s="146" t="str">
        <x:v>Driver registry excludes carbon cost and physical damage from this pillar</x:v>
      </x:c>
      <x:c r="C9" s="146" t="str">
        <x:v>Reference FCFF x (GDP+supply shock) x elasticity x issuer scale</x:v>
      </x:c>
      <x:c r="D9" s="146" t="str">
        <x:v>Elasticity and dependency transform are not estimated issuer betas</x:v>
      </x:c>
      <x:c r="E9" s="146" t="str">
        <x:v>Prototype demonstration assumption - not issuer-observed</x:v>
      </x:c>
      <x:c r="F9" s="155" t="str">
        <x:v>Implemented / tested</x:v>
      </x:c>
      <x:c r="G9" s="158" t="str">
        <x:v>Research-only</x:v>
      </x:c>
      <x:c r="H9" s="147" t="str">
        <x:v>Estimate from history / BEA links</x:v>
      </x:c>
    </x:row>
    <x:row r="10">
      <x:c r="A10" s="152" t="str">
        <x:v>Value diagnostics</x:v>
      </x:c>
      <x:c r="B10" s="146" t="str">
        <x:v>Relative, symmetric and dollar EV changes plus floor/unapplied-cost diagnostics returned</x:v>
      </x:c>
      <x:c r="C10" s="146" t="str">
        <x:v>Symmetric difference = 2 x (target EV-reference EV)/(abs target EV+abs reference EV)</x:v>
      </x:c>
      <x:c r="D10" s="146" t="str">
        <x:v>Extreme outputs remain scenario-boundary results</x:v>
      </x:c>
      <x:c r="E10" s="146" t="str">
        <x:v>RANKABLE / CAUTION / EXCLUDE</x:v>
      </x:c>
      <x:c r="F10" s="155" t="str">
        <x:v>Implemented / tested</x:v>
      </x:c>
      <x:c r="G10" s="158" t="str">
        <x:v>No automatic ranking outside gate</x:v>
      </x:c>
      <x:c r="H10" s="147" t="str">
        <x:v>External benchmark and sensitivity review</x:v>
      </x:c>
    </x:row>
    <x:row r="11">
      <x:c r="A11" s="152" t="str">
        <x:v>EV-to-equity</x:v>
      </x:c>
      <x:c r="B11" s="146" t="str">
        <x:v>Fail-closed reason codes added; no per-share output</x:v>
      </x:c>
      <x:c r="C11" s="146" t="str">
        <x:v>Enterprise value only</x:v>
      </x:c>
      <x:c r="D11" s="146" t="str">
        <x:v>Cash/net debt adjustments, other claims, non-operating assets and shares</x:v>
      </x:c>
      <x:c r="E11" s="146" t="str">
        <x:v>Not calculable</x:v>
      </x:c>
      <x:c r="F11" s="155" t="str">
        <x:v>Implemented / tested</x:v>
      </x:c>
      <x:c r="G11" s="158" t="str">
        <x:v>No price target</x:v>
      </x:c>
      <x:c r="H11" s="147" t="str">
        <x:v>Build governed equity bridge</x:v>
      </x:c>
    </x:row>
    <x:row r="12">
      <x:c r="A12" s="153" t="str">
        <x:v>Model promotion</x:v>
      </x:c>
      <x:c r="B12" s="149" t="str">
        <x:v>Engineering acceptance separated from investment approval</x:v>
      </x:c>
      <x:c r="C12" s="149" t="str">
        <x:v>N/A</x:v>
      </x:c>
      <x:c r="D12" s="149" t="str">
        <x:v>External calibration, out-of-sample tests and independent quant approval</x:v>
      </x:c>
      <x:c r="E12" s="149" t="str">
        <x:v>Research prototype / LIMITED</x:v>
      </x:c>
      <x:c r="F12" s="156" t="str">
        <x:v>Iterate</x:v>
      </x:c>
      <x:c r="G12" s="159" t="str">
        <x:v>Not approved</x:v>
      </x:c>
      <x:c r="H12" s="150" t="str">
        <x:v>Independent model validation</x:v>
      </x:c>
    </x:row>
    <x:row r="14" ht="24" customHeight="1">
      <x:c r="A14" s="161" t="str">
        <x:v>Assumption label used throughout the repaired model</x:v>
      </x:c>
      <x:c r="B14" s="161"/>
      <x:c r="C14" s="161"/>
      <x:c r="D14" s="161"/>
      <x:c r="E14" s="161"/>
      <x:c r="F14" s="161"/>
      <x:c r="G14" s="161"/>
      <x:c r="H14" s="161"/>
    </x:row>
    <x:row r="15" ht="32" customHeight="1">
      <x:c r="A15" s="164" t="str">
        <x:v>Prototype demonstration assumption - not issuer-observed. The value is retained only to demonstrate the scenario-to-FCFF-to-enterprise-value workflow and must not be read as a company fact.</x:v>
      </x:c>
      <x:c r="B15" s="164"/>
      <x:c r="C15" s="164"/>
      <x:c r="D15" s="164"/>
      <x:c r="E15" s="164"/>
      <x:c r="F15" s="164"/>
      <x:c r="G15" s="164"/>
      <x:c r="H15" s="164"/>
    </x:row>
    <x:row r="16" ht="32" customHeight="1">
      <x:c r="A16" s="164"/>
      <x:c r="B16" s="164"/>
      <x:c r="C16" s="164"/>
      <x:c r="D16" s="164"/>
      <x:c r="E16" s="164"/>
      <x:c r="F16" s="164"/>
      <x:c r="G16" s="164"/>
      <x:c r="H16" s="164"/>
    </x:row>
  </x:sheetData>
  <x:mergeCells>
    <x:mergeCell ref="A1:H1"/>
    <x:mergeCell ref="A2:H2"/>
    <x:mergeCell ref="A14:H14"/>
    <x:mergeCell ref="A15:H16"/>
  </x:mergeCells>
  <x:pageMargins left="0.7" right="0.7" top="0.75" bottom="0.75" header="0.3" footer="0.3"/>
</x:worksheet>
</file>