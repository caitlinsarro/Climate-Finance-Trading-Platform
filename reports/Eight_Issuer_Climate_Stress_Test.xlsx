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aeb02a32d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a0b54ec9629481f"/>
    <x:sheet xmlns:r="http://schemas.openxmlformats.org/officeDocument/2006/relationships" name="Inputs" sheetId="2" r:id="Ra9fbc46a8a4a4505"/>
    <x:sheet xmlns:r="http://schemas.openxmlformats.org/officeDocument/2006/relationships" name="Scenario Results" sheetId="3" r:id="R0c00cc323da04735"/>
    <x:sheet xmlns:r="http://schemas.openxmlformats.org/officeDocument/2006/relationships" name="Base Matrix" sheetId="4" r:id="R85332e1a4ece4c53"/>
    <x:sheet xmlns:r="http://schemas.openxmlformats.org/officeDocument/2006/relationships" name="Data Quality" sheetId="5" r:id="R9f64f6bdbf3c4c9f"/>
    <x:sheet xmlns:r="http://schemas.openxmlformats.org/officeDocument/2006/relationships" name="Checks" sheetId="6" r:id="R2adf7c5b2a6e4f44"/>
    <x:sheet xmlns:r="http://schemas.openxmlformats.org/officeDocument/2006/relationships" name="Source Audit" sheetId="7" r:id="R967cb49970bd40b9"/>
  </x:sheets>
</x:workbook>
</file>

<file path=xl/comments1.xml><?xml version="1.0" encoding="utf-8"?>
<x:comments xmlns:x="http://schemas.openxmlformats.org/spreadsheetml/2006/main">
  <x:authors>
    <x:author>tc={B97402D4-FB7D-CDA0-00C5-F304A0ADC822}</x:author>
    <x:author>tc={70E1E73F-39DA-0B27-A7DD-E2053DF16FF5}</x:author>
    <x:author>tc={50166138-95DF-F831-9F78-F0AC87C4062B}</x:author>
    <x:author>tc={66D7F28B-EC86-9CB4-A8F7-717A855A9712}</x:author>
    <x:author>tc={19640115-6B9D-B4D8-EE4C-75E2C3939942}</x:author>
    <x:author>tc={EE378D9A-6970-6BFB-1BF0-ECB36CB76165}</x:author>
  </x:authors>
  <x:commentList>
    <x:comment ref="R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assumption: share of direct emissions exposed to the scenario policy price.</x:t>
        </x:r>
      </x:text>
    </x:comment>
    <x:comment ref="S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assumption: share of transition cost passed to customers rather than absorbed by FCFF.</x:t>
        </x:r>
      </x:text>
    </x:comment>
    <x:comment ref="U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assumption: only a small share of Scope 3 exposure is financially attributed to issuer FCFF; Scope 3 is not treated as a direct tax.</x:t>
        </x:r>
      </x:text>
    </x:comment>
    <x:comment ref="W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assumption: share of SEC net PP&amp;E treated as covered by the acute hazard calculation.</x:t>
        </x:r>
      </x:text>
    </x:comment>
    <x:comment ref="X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assumption: loss share recovered through insurance and adaptation.</x:t>
        </x:r>
      </x:text>
    </x:comment>
    <x:comment ref="AB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Common scenario conversion assumption. Issuer differentiation also uses SEC CapEx/CFO dependency scale.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;[Red]($#,##0);-"/>
    <x:numFmt numFmtId="201" formatCode="#,##0;[Red](#,##0);-"/>
    <x:numFmt numFmtId="202" formatCode="0.00&quot;%&quot;"/>
    <x:numFmt numFmtId="203" formatCode="0.0%"/>
    <x:numFmt numFmtId="204" formatCode="0.00x"/>
    <x:numFmt numFmtId="205" formatCode="0.00&quot;%&quot;;[Red](0.00&quot;%&quot;)"/>
    <x:numFmt numFmtId="206" formatCode="#,##0"/>
    <x:numFmt numFmtId="207" formatCode="0.0&quot;%&quot;"/>
    <x:numFmt numFmtId="208" formatCode="0.000&quot;%&quot;"/>
    <x:numFmt numFmtId="209" formatCode="0.000000&quot;%&quot;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5717E"/>
      <x:name val="Carlito"/>
    </x:font>
    <x:font>
      <x:b/>
      <x:sz val="10"/>
      <x:color rgb="FFFFFFFF"/>
      <x:name val="Carlito"/>
    </x:font>
    <x:font>
      <x:sz val="9"/>
      <x:color rgb="FF1D2733"/>
      <x:name val="Carlito"/>
    </x:font>
    <x:font>
      <x:sz val="11"/>
      <x:color rgb="FF1D2733"/>
      <x:name val="Carlito"/>
    </x:font>
    <x:font>
      <x:b/>
      <x:sz val="9"/>
      <x:color rgb="FF214E8A"/>
      <x:name val="Carlito"/>
    </x:font>
    <x:font>
      <x:b/>
      <x:sz val="11"/>
      <x:color rgb="FF214E8A"/>
      <x:name val="Carlito"/>
    </x:font>
    <x:font>
      <x:b/>
      <x:sz val="10"/>
      <x:color rgb="FF214E8A"/>
      <x:name val="Carlito"/>
    </x:font>
    <x:font>
      <x:sz val="9"/>
      <x:color rgb="FF0000FF"/>
      <x:name val="Carlito"/>
    </x:font>
    <x:font>
      <x:i/>
      <x:sz val="8"/>
      <x:color rgb="FF65717E"/>
      <x:name val="Carlito"/>
    </x:font>
    <x:font>
      <x:sz val="9"/>
      <x:color rgb="FF008000"/>
      <x:name val="Carlito"/>
    </x:font>
    <x:font>
      <x:b/>
      <x:sz val="11"/>
      <x:color rgb="FFFFFFFF"/>
      <x:name val="Carlito"/>
    </x:font>
    <x:font>
      <x:b/>
      <x:sz val="12"/>
      <x:color rgb="FF214E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14E8A"/>
      </x:patternFill>
    </x:fill>
    <x:fill>
      <x:patternFill patternType="solid">
        <x:fgColor rgb="FFF3F5F7"/>
      </x:patternFill>
    </x:fill>
    <x:fill>
      <x:patternFill patternType="solid">
        <x:fgColor rgb="FF789D45"/>
      </x:patternFill>
    </x:fill>
    <x:fill>
      <x:patternFill patternType="solid">
        <x:fgColor rgb="FFFFF3D6"/>
      </x:patternFill>
    </x:fill>
    <x:fill>
      <x:patternFill patternType="solid">
        <x:fgColor rgb="FFB68A2F"/>
      </x:patternFill>
    </x:fill>
    <x:fill>
      <x:patternFill patternType="solid">
        <x:fgColor rgb="FFFFFBEA"/>
      </x:patternFill>
    </x:fill>
  </x:fills>
  <x:borders count="9">
    <x:border/>
    <x:border>
      <x:left style="thin">
        <x:color rgb="FFC28A2C"/>
      </x:left>
      <x:top style="thin">
        <x:color rgb="FFC28A2C"/>
      </x:top>
    </x:border>
    <x:border>
      <x:top style="thin">
        <x:color rgb="FFC28A2C"/>
      </x:top>
    </x:border>
    <x:border>
      <x:right style="thin">
        <x:color rgb="FFC28A2C"/>
      </x:right>
      <x:top style="thin">
        <x:color rgb="FFC28A2C"/>
      </x:top>
    </x:border>
    <x:border>
      <x:left style="thin">
        <x:color rgb="FFC28A2C"/>
      </x:left>
    </x:border>
    <x:border>
      <x:right style="thin">
        <x:color rgb="FFC28A2C"/>
      </x:right>
    </x:border>
    <x:border>
      <x:left style="thin">
        <x:color rgb="FFC28A2C"/>
      </x:left>
      <x:bottom style="thin">
        <x:color rgb="FFC28A2C"/>
      </x:bottom>
    </x:border>
    <x:border>
      <x:bottom style="thin">
        <x:color rgb="FFC28A2C"/>
      </x:bottom>
    </x:border>
    <x:border>
      <x:right style="thin">
        <x:color rgb="FFC28A2C"/>
      </x:right>
      <x:bottom style="thin">
        <x:color rgb="FFC28A2C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0" fontId="3" fillId="6" borderId="0" xfId="0" applyNumberFormat="1" applyFont="1" applyFill="1" applyBorder="1" applyAlignment="1">
      <x:alignment horizontal="center"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horizontal="right"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horizontal="right" vertical="center" wrapText="0"/>
    </x:xf>
    <x:xf numFmtId="202" fontId="4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horizontal="right" vertical="center" wrapText="0"/>
    </x:xf>
    <x:xf numFmtId="203" fontId="9" fillId="7" borderId="0" xfId="0" applyNumberFormat="1" applyFont="1" applyFill="1" applyBorder="1" applyAlignment="1">
      <x:alignment vertical="center" wrapText="0"/>
    </x:xf>
    <x:xf numFmtId="203" fontId="9" fillId="7" borderId="0" xfId="0" applyNumberFormat="1" applyFont="1" applyFill="1" applyBorder="1" applyAlignment="1">
      <x:alignment horizontal="right" vertical="center" wrapText="0"/>
    </x:xf>
    <x:xf numFmtId="204" fontId="9" fillId="7" borderId="0" xfId="0" applyNumberFormat="1" applyFont="1" applyFill="1" applyBorder="1" applyAlignment="1">
      <x:alignment vertical="center" wrapText="0"/>
    </x:xf>
    <x:xf numFmtId="204" fontId="9" fillId="7" borderId="0" xfId="0" applyNumberFormat="1" applyFont="1" applyFill="1" applyBorder="1" applyAlignment="1">
      <x:alignment horizontal="right" vertical="center" wrapText="0"/>
    </x:xf>
    <x:xf numFmtId="202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/>
    <x:xf numFmtId="202" fontId="0" fillId="0" borderId="0" xfId="0" applyNumberFormat="1" applyFont="1" applyFill="1" applyBorder="1"/>
    <x:xf numFmtId="206" fontId="11" fillId="0" borderId="0" xfId="0" applyNumberFormat="1" applyFont="1" applyFill="1" applyBorder="1" applyAlignment="1">
      <x:alignment vertical="center"/>
    </x:xf>
    <x:xf numFmtId="207" fontId="11" fillId="0" borderId="0" xfId="0" applyNumberFormat="1" applyFont="1" applyFill="1" applyBorder="1" applyAlignment="1">
      <x:alignment vertical="center"/>
    </x:xf>
    <x:xf numFmtId="208" fontId="11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/>
    </x:xf>
    <x:xf numFmtId="209" fontId="4" fillId="0" borderId="0" xfId="0" applyNumberFormat="1" applyFont="1" applyFill="1" applyBorder="1" applyAlignment="1">
      <x:alignment horizontal="right" vertical="center"/>
    </x:xf>
    <x:xf numFmtId="208" fontId="4" fillId="0" borderId="0" xfId="0" applyNumberFormat="1" applyFont="1" applyFill="1" applyBorder="1" applyAlignment="1">
      <x:alignment horizontal="right" vertical="center"/>
    </x:xf>
    <x:xf numFmtId="0" fontId="13" fillId="3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2F6B42"/>
      </x:font>
      <x:fill>
        <x:patternFill patternType="solid">
          <x:bgColor rgb="FFE9F1E3"/>
        </x:patternFill>
      </x:fill>
    </x:dxf>
    <x:dxf>
      <x:font>
        <x:b/>
        <x:color rgb="FF8C651C"/>
      </x:font>
      <x:fill>
        <x:patternFill patternType="solid">
          <x:bgColor rgb="FFFFF3D6"/>
        </x:patternFill>
      </x:fill>
    </x:dxf>
    <x:dxf>
      <x:font>
        <x:b/>
        <x:color rgb="FFC34249"/>
      </x:font>
      <x:fill>
        <x:patternFill patternType="solid">
          <x:bgColor rgb="FFFCE8EA"/>
        </x:patternFill>
      </x:fill>
    </x:dxf>
    <x:dxf>
      <x:font>
        <x:b/>
        <x:color rgb="FF65717E"/>
      </x:font>
      <x:fill>
        <x:patternFill patternType="solid">
          <x:bgColor rgb="FFE4E7EB"/>
        </x:patternFill>
      </x:fill>
    </x:dxf>
    <x:dxf>
      <x:font>
        <x:b/>
        <x:color rgb="FF2F6B42"/>
      </x:font>
      <x:fill>
        <x:patternFill patternType="solid">
          <x:bgColor rgb="FFE9F1E3"/>
        </x:patternFill>
      </x:fill>
    </x:dxf>
    <x:dxf>
      <x:font>
        <x:b/>
        <x:color rgb="FFC34249"/>
      </x:font>
      <x:fill>
        <x:patternFill patternType="solid">
          <x:bgColor rgb="FFFCE8EA"/>
        </x:patternFill>
      </x:fill>
    </x:dxf>
    <x:dxf>
      <x:font>
        <x:b/>
        <x:color rgb="FF2F6B42"/>
      </x:font>
      <x:fill>
        <x:patternFill patternType="solid">
          <x:bgColor rgb="FFE9F1E3"/>
        </x:patternFill>
      </x:fill>
    </x:dxf>
    <x:dxf>
      <x:font>
        <x:b/>
        <x:color rgb="FFC34249"/>
      </x:font>
      <x:fill>
        <x:patternFill patternType="solid">
          <x:bgColor rgb="FFFCE8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06d7cf9ea4366" /><Relationship Type="http://schemas.openxmlformats.org/officeDocument/2006/relationships/theme" Target="/xl/theme/theme1.xml" Id="R927c7c8876354d9e" /><Relationship Type="http://schemas.openxmlformats.org/officeDocument/2006/relationships/sharedStrings" Target="/xl/sharedStrings.xml" Id="R364935e4ab384316" /><Relationship Type="http://schemas.openxmlformats.org/officeDocument/2006/relationships/worksheet" Target="/xl/worksheets/sheet1.xml" Id="R3a0b54ec9629481f" /><Relationship Type="http://schemas.openxmlformats.org/officeDocument/2006/relationships/worksheet" Target="/xl/worksheets/sheet2.xml" Id="Ra9fbc46a8a4a4505" /><Relationship Type="http://schemas.openxmlformats.org/officeDocument/2006/relationships/worksheet" Target="/xl/worksheets/sheet3.xml" Id="R0c00cc323da04735" /><Relationship Type="http://schemas.openxmlformats.org/officeDocument/2006/relationships/worksheet" Target="/xl/worksheets/sheet4.xml" Id="R85332e1a4ece4c53" /><Relationship Type="http://schemas.openxmlformats.org/officeDocument/2006/relationships/worksheet" Target="/xl/worksheets/sheet5.xml" Id="R9f64f6bdbf3c4c9f" /><Relationship Type="http://schemas.openxmlformats.org/officeDocument/2006/relationships/worksheet" Target="/xl/worksheets/sheet6.xml" Id="R2adf7c5b2a6e4f44" /><Relationship Type="http://schemas.openxmlformats.org/officeDocument/2006/relationships/worksheet" Target="/xl/worksheets/sheet7.xml" Id="R967cb49970bd40b9" /><Relationship Type="http://schemas.microsoft.com/office/2017/10/relationships/person" Target="/xl/persons/person.xml" Id="Rc460ae672a5442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491631bca94a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Policies vs baseline — Base case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CP vs baseline</c:v>
          </c:tx>
          <c:cat>
            <c:strRef>
              <c:f>'Base Matrix'!$L$5:$L$12</c:f>
              <c:strCache>
                <c:ptCount val="0"/>
              </c:strCache>
            </c:strRef>
          </c:cat>
          <c:val>
            <c:numRef>
              <c:f>'Base Matrix'!$M$5:$M$12</c:f>
              <c:numCache>
                <c:formatCode>0.00"%"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491631bca94a6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Zilunhe" id="{6D0E480A-E61A-4C36-9828-1EF7F2A2CA5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R4" dT="2026-08-09T02:52:06.191" personId="{6D0E480A-E61A-4C36-9828-1EF7F2A2CA5B}" id="{B97402D4-FB7D-CDA0-00C5-F304A0ADC822}">
    <xltc:text>Model assumption: share of direct emissions exposed to the scenario policy price.</xltc:text>
  </xltc:threadedComment>
  <xltc:threadedComment ref="S4" dT="2026-08-09T02:52:06.197" personId="{6D0E480A-E61A-4C36-9828-1EF7F2A2CA5B}" id="{70E1E73F-39DA-0B27-A7DD-E2053DF16FF5}">
    <xltc:text>Model assumption: share of transition cost passed to customers rather than absorbed by FCFF.</xltc:text>
  </xltc:threadedComment>
  <xltc:threadedComment ref="U4" dT="2026-08-09T02:52:06.197" personId="{6D0E480A-E61A-4C36-9828-1EF7F2A2CA5B}" id="{50166138-95DF-F831-9F78-F0AC87C4062B}">
    <xltc:text>Model assumption: only a small share of Scope 3 exposure is financially attributed to issuer FCFF; Scope 3 is not treated as a direct tax.</xltc:text>
  </xltc:threadedComment>
  <xltc:threadedComment ref="W4" dT="2026-08-09T02:52:06.197" personId="{6D0E480A-E61A-4C36-9828-1EF7F2A2CA5B}" id="{66D7F28B-EC86-9CB4-A8F7-717A855A9712}">
    <xltc:text>Model assumption: share of SEC net PP&amp;E treated as covered by the acute hazard calculation.</xltc:text>
  </xltc:threadedComment>
  <xltc:threadedComment ref="X4" dT="2026-08-09T02:52:06.197" personId="{6D0E480A-E61A-4C36-9828-1EF7F2A2CA5B}" id="{19640115-6B9D-B4D8-EE4C-75E2C3939942}">
    <xltc:text>Model assumption: loss share recovered through insurance and adaptation.</xltc:text>
  </xltc:threadedComment>
  <xltc:threadedComment ref="AB4" dT="2026-08-09T02:52:06.197" personId="{6D0E480A-E61A-4C36-9828-1EF7F2A2CA5B}" id="{EE378D9A-6970-6BFB-1BF0-ECB36CB76165}">
    <xltc:text>Common scenario conversion assumption. Issuer differentiation also uses SEC CapEx/CFO dependency scale.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ea2f44d970a4cd5" /><Relationship Type="http://schemas.openxmlformats.org/officeDocument/2006/relationships/vmlDrawing" Target="/xl/drawings/vmldrawing.vml" Id="R2cec0e86bfdb44a7" /><Relationship Type="http://schemas.microsoft.com/office/2017/10/relationships/threadedComment" Target="/xl/threadedcomments/threadedcomment.xml" Id="Rce8c9e20ebba4c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dac416e7b7046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" t="str">
        <x:v>Eight-Issuer Climate Scenario Stress Test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Release CFP-2026-003-R17-20260804T234500Z | Generated from the governed application model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Purpose</x:v>
      </x:c>
      <x:c r="B4" s="12" t="str">
        <x:v>Use</x:v>
      </x:c>
      <x:c r="D4" s="12" t="str">
        <x:v>Client-review interpretation</x:v>
      </x:c>
      <x:c r="E4" s="12"/>
      <x:c r="F4" s="12"/>
      <x:c r="G4" s="12"/>
      <x:c r="H4" s="12"/>
    </x:row>
    <x:row r="5" ht="15" hidden="0" customHeight="1">
      <x:c r="A5" s="46" t="str">
        <x:v>Framework</x:v>
      </x:c>
      <x:c r="B5" s="47" t="str">
        <x:v>Climate scenario → transition / physical / macro-supply FCFF pressure → discounted enterprise-value differential.</x:v>
      </x:c>
      <x:c r="D5" s="34" t="str">
        <x:v>The model is strongest as an explainable climate-to-cash-flow-to-valuation framework. Technology, industrial, energy and utility issuers show different drivers. However, large Net Zero results for high-transition-exposure issuers are assumption-sensitive. DUK reaches the target-EV zero floor under Net Zero; the -100% output is therefore a boundary stress result, not a precise Climate VaR. AAPL and MSFT use a FEMA proxy because no issuer facilities are present in the governed facility-match file. The Base macro elasticity is common, while the dependency scale uses issuer SEC CapEx/CFO.</x:v>
      </x:c>
      <x:c r="E5" s="35"/>
      <x:c r="F5" s="35"/>
      <x:c r="G5" s="35"/>
      <x:c r="H5" s="36"/>
    </x:row>
    <x:row r="6" ht="15" hidden="0" customHeight="1">
      <x:c r="A6" s="46" t="str">
        <x:v>Value impact</x:v>
      </x:c>
      <x:c r="B6" s="47" t="str">
        <x:v>(Target scenario EV / Reference scenario EV − 1) × 100%. It is not a probability, expected return or one-day price move.</x:v>
      </x:c>
      <x:c r="D6" s="37"/>
      <x:c r="E6" s="38"/>
      <x:c r="F6" s="38"/>
      <x:c r="G6" s="38"/>
      <x:c r="H6" s="39"/>
    </x:row>
    <x:row r="7" ht="15" hidden="0" customHeight="1">
      <x:c r="A7" s="46" t="str">
        <x:v>Best use</x:v>
      </x:c>
      <x:c r="B7" s="47" t="str">
        <x:v>Scenario stress testing, peer comparison, driver attribution and long-horizon research prioritization.</x:v>
      </x:c>
      <x:c r="D7" s="37"/>
      <x:c r="E7" s="38"/>
      <x:c r="F7" s="38"/>
      <x:c r="G7" s="38"/>
      <x:c r="H7" s="39"/>
    </x:row>
    <x:row r="8" ht="15" hidden="0" customHeight="1">
      <x:c r="A8" s="46" t="str">
        <x:v>Do not use as</x:v>
      </x:c>
      <x:c r="B8" s="47" t="str">
        <x:v>A standalone production Climate VaR, audited valuation, price target or automatic investment signal.</x:v>
      </x:c>
      <x:c r="D8" s="37"/>
      <x:c r="E8" s="38"/>
      <x:c r="F8" s="38"/>
      <x:c r="G8" s="38"/>
      <x:c r="H8" s="39"/>
    </x:row>
    <x:row r="9" ht="15" hidden="0" customHeight="1">
      <x:c r="A9" s="46" t="str">
        <x:v>Release time</x:v>
      </x:c>
      <x:c r="B9" s="47" t="str">
        <x:v>2026-08-04 23:45 UTC (2026-08-04 19:45 New York). R17 is the governed release identifier.</x:v>
      </x:c>
      <x:c r="D9" s="37"/>
      <x:c r="E9" s="38"/>
      <x:c r="F9" s="38"/>
      <x:c r="G9" s="38"/>
      <x:c r="H9" s="39"/>
    </x:row>
    <x:row r="10" ht="15" hidden="0" customHeight="1">
      <x:c r="A10" s="48"/>
      <x:c r="B10" s="49"/>
      <x:c r="D10" s="37"/>
      <x:c r="E10" s="38"/>
      <x:c r="F10" s="38"/>
      <x:c r="G10" s="38"/>
      <x:c r="H10" s="39"/>
    </x:row>
    <x:row r="11" ht="15" hidden="0" customHeight="1">
      <x:c r="A11" s="45" t="str">
        <x:v>Workbook map</x:v>
      </x:c>
      <x:c r="B11" s="12" t="str">
        <x:v>What it contains</x:v>
      </x:c>
      <x:c r="D11" s="37"/>
      <x:c r="E11" s="38"/>
      <x:c r="F11" s="38"/>
      <x:c r="G11" s="38"/>
      <x:c r="H11" s="39"/>
    </x:row>
    <x:row r="12" ht="15" hidden="0" customHeight="1">
      <x:c r="A12" s="46" t="str">
        <x:v>Inputs</x:v>
      </x:c>
      <x:c r="B12" s="47" t="str">
        <x:v>Eight issuers: company financials, emissions, physical evidence and disclosed Low/Base/High conversion assumptions.</x:v>
      </x:c>
      <x:c r="D12" s="37"/>
      <x:c r="E12" s="38"/>
      <x:c r="F12" s="38"/>
      <x:c r="G12" s="38"/>
      <x:c r="H12" s="39"/>
    </x:row>
    <x:row r="13" ht="15" hidden="0" customHeight="1">
      <x:c r="A13" s="46" t="str">
        <x:v>Scenario Results</x:v>
      </x:c>
      <x:c r="B13" s="47" t="str">
        <x:v>120 governed output rows: 8 issuers × 5 target/reference comparisons × 3 assumption cases.</x:v>
      </x:c>
      <x:c r="D13" s="37"/>
      <x:c r="E13" s="38"/>
      <x:c r="F13" s="38"/>
      <x:c r="G13" s="38"/>
      <x:c r="H13" s="39"/>
    </x:row>
    <x:row r="14" ht="15" hidden="0" customHeight="1">
      <x:c r="A14" s="46" t="str">
        <x:v>Base Matrix</x:v>
      </x:c>
      <x:c r="B14" s="47" t="str">
        <x:v>Formula-driven cross-issuer scenario comparison and Net Zero assumption range.</x:v>
      </x:c>
      <x:c r="D14" s="40"/>
      <x:c r="E14" s="41"/>
      <x:c r="F14" s="41"/>
      <x:c r="G14" s="41"/>
      <x:c r="H14" s="42"/>
    </x:row>
    <x:row r="15" ht="15" hidden="0" customHeight="1">
      <x:c r="A15" s="46" t="str">
        <x:v>Data Quality</x:v>
      </x:c>
      <x:c r="B15" s="47" t="str">
        <x:v>Facility match coverage, FEMA proxy status, physical confidence and macro-specificity disclosure.</x:v>
      </x:c>
    </x:row>
    <x:row r="16" ht="15" hidden="0" customHeight="1">
      <x:c r="A16" s="46" t="str">
        <x:v>Checks</x:v>
      </x:c>
      <x:c r="B16" s="47" t="str">
        <x:v>Row counts, release control, channel attribution, terminal FCFF bridge, proxy and extreme-value diagnostics.</x:v>
      </x:c>
    </x:row>
    <x:row r="17" ht="15" hidden="0" customHeight="1">
      <x:c r="A17" s="46" t="str">
        <x:v>Source Audit</x:v>
      </x:c>
      <x:c r="B17" s="47" t="str">
        <x:v>Issuer reports, SEC, FEMA and NGFS/Climate Impact Explorer URLs and retained-file hashes.</x:v>
      </x:c>
    </x:row>
  </x:sheetData>
  <x:mergeCells>
    <x:mergeCell ref="A1:H1"/>
    <x:mergeCell ref="A2:H2"/>
    <x:mergeCell ref="D4:H4"/>
    <x:mergeCell ref="D5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4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42" hidden="0" customWidth="1"/>
    <x:col min="31" max="31" width="42" hidden="0" customWidth="1"/>
  </x:cols>
  <x:sheetData>
    <x:row r="1" ht="30" customHeight="1">
      <x:c r="A1" s="3" t="str">
        <x:v>Model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 ht="34" customHeight="1">
      <x:c r="A2" s="7" t="str">
        <x:v>Observed issuer evidence and disclosed Base conversion assumptions; blue-font columns are model assumptions, not observed facts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</x:row>
    <x:row r="4" ht="34" customHeight="1">
      <x:c r="A4" s="50" t="str">
        <x:v>ticker</x:v>
      </x:c>
      <x:c r="B4" s="50" t="str">
        <x:v>sector</x:v>
      </x:c>
      <x:c r="C4" s="50" t="str">
        <x:v>release_id</x:v>
      </x:c>
      <x:c r="D4" s="50" t="str">
        <x:v>normalized_fcff_usd</x:v>
      </x:c>
      <x:c r="E4" s="50" t="str">
        <x:v>scope1_tco2e</x:v>
      </x:c>
      <x:c r="F4" s="50" t="str">
        <x:v>scope2_tco2e</x:v>
      </x:c>
      <x:c r="G4" s="50" t="str">
        <x:v>scope3_tco2e</x:v>
      </x:c>
      <x:c r="H4" s="50" t="str">
        <x:v>net_ppe_usd</x:v>
      </x:c>
      <x:c r="I4" s="50" t="str">
        <x:v>facility_count</x:v>
      </x:c>
      <x:c r="J4" s="50" t="str">
        <x:v>fema_eal_matches</x:v>
      </x:c>
      <x:c r="K4" s="50" t="str">
        <x:v>facility_match_coverage_pct</x:v>
      </x:c>
      <x:c r="L4" s="50" t="str">
        <x:v>physical_data_confidence</x:v>
      </x:c>
      <x:c r="M4" s="50" t="str">
        <x:v>physical_evidence_type</x:v>
      </x:c>
      <x:c r="N4" s="50" t="str">
        <x:v>fema_building_eal_rate_pct</x:v>
      </x:c>
      <x:c r="O4" s="50" t="str">
        <x:v>issuer_specific_fema_rate_pct</x:v>
      </x:c>
      <x:c r="P4" s="50" t="str">
        <x:v>wacc_pct</x:v>
      </x:c>
      <x:c r="Q4" s="50" t="str">
        <x:v>terminal_growth_pct</x:v>
      </x:c>
      <x:c r="R4" s="53" t="str">
        <x:v>policy_coverage</x:v>
      </x:c>
      <x:c r="S4" s="53" t="str">
        <x:v>pass_through</x:v>
      </x:c>
      <x:c r="T4" s="53" t="str">
        <x:v>scope2_cost_incidence</x:v>
      </x:c>
      <x:c r="U4" s="53" t="str">
        <x:v>scope3_value_chain_incidence</x:v>
      </x:c>
      <x:c r="V4" s="53" t="str">
        <x:v>annual_emissions_decline</x:v>
      </x:c>
      <x:c r="W4" s="53" t="str">
        <x:v>covered_ppe_share</x:v>
      </x:c>
      <x:c r="X4" s="53" t="str">
        <x:v>insurance_adaptation_recovery</x:v>
      </x:c>
      <x:c r="Y4" s="53" t="str">
        <x:v>labour_cost_share</x:v>
      </x:c>
      <x:c r="Z4" s="53" t="str">
        <x:v>labour_productivity_to_fcff</x:v>
      </x:c>
      <x:c r="AA4" s="53" t="str">
        <x:v>acute_scenario_factor</x:v>
      </x:c>
      <x:c r="AB4" s="53" t="str">
        <x:v>macro_cashflow_elasticity</x:v>
      </x:c>
      <x:c r="AC4" s="53" t="str">
        <x:v>macro_dependency_scale</x:v>
      </x:c>
      <x:c r="AD4" s="50" t="str">
        <x:v>macro_specificity</x:v>
      </x:c>
      <x:c r="AE4" s="50" t="str">
        <x:v>classification</x:v>
      </x:c>
    </x:row>
    <x:row r="5">
      <x:c r="A5" s="51" t="str">
        <x:v>AAPL</x:v>
      </x:c>
      <x:c r="B5" s="51" t="str">
        <x:v>Technology</x:v>
      </x:c>
      <x:c r="C5" s="51" t="str">
        <x:v>CFP-2026-003-R17-20260804T234500Z</x:v>
      </x:c>
      <x:c r="D5" s="56" t="str">
        <x:v>102784466009.31221</x:v>
      </x:c>
      <x:c r="E5" s="58" t="str">
        <x:v>55200.0</x:v>
      </x:c>
      <x:c r="F5" s="58" t="str">
        <x:v>3300.0</x:v>
      </x:c>
      <x:c r="G5" s="58" t="str">
        <x:v>15110000.0</x:v>
      </x:c>
      <x:c r="H5" s="56" t="str">
        <x:v>50159000000.0</x:v>
      </x:c>
      <x:c r="I5" s="58" t="str">
        <x:v>0.0</x:v>
      </x:c>
      <x:c r="J5" s="58" t="str">
        <x:v>0.0</x:v>
      </x:c>
      <x:c r="K5" s="60" t="str"/>
      <x:c r="L5" s="51" t="str">
        <x:v>Unverified</x:v>
      </x:c>
      <x:c r="M5" s="47" t="str">
        <x:v>Proxy fallback; no issuer facilities in governed match file</x:v>
      </x:c>
      <x:c r="N5" s="60" t="str">
        <x:v>0.18089619337783003</x:v>
      </x:c>
      <x:c r="O5" s="60" t="str"/>
      <x:c r="P5" s="60" t="str">
        <x:v>9.468635607765986</x:v>
      </x:c>
      <x:c r="Q5" s="60" t="str">
        <x:v>2.5</x:v>
      </x:c>
      <x:c r="R5" s="62" t="str">
        <x:v>0.75</x:v>
      </x:c>
      <x:c r="S5" s="62" t="str">
        <x:v>0.5</x:v>
      </x:c>
      <x:c r="T5" s="62" t="str">
        <x:v>0.5</x:v>
      </x:c>
      <x:c r="U5" s="62" t="str">
        <x:v>0.02</x:v>
      </x:c>
      <x:c r="V5" s="62" t="str">
        <x:v>0.03</x:v>
      </x:c>
      <x:c r="W5" s="62" t="str">
        <x:v>0.1</x:v>
      </x:c>
      <x:c r="X5" s="62" t="str">
        <x:v>0.5</x:v>
      </x:c>
      <x:c r="Y5" s="62" t="str">
        <x:v>0.1</x:v>
      </x:c>
      <x:c r="Z5" s="62" t="str">
        <x:v>0.25</x:v>
      </x:c>
      <x:c r="AA5" s="54" t="str">
        <x:v>1.0</x:v>
      </x:c>
      <x:c r="AB5" s="62" t="str">
        <x:v>0.6</x:v>
      </x:c>
      <x:c r="AC5" s="64" t="str">
        <x:v>0.6140542867906926</x:v>
      </x:c>
      <x:c r="AD5" s="47" t="str">
        <x:v>Common scenario elasticity + issuer SEC CapEx/CFO dependency scale</x:v>
      </x:c>
      <x:c r="AE5" s="47" t="str">
        <x:v>Modeled estimate using observed inputs + disclosed assumptions</x:v>
      </x:c>
    </x:row>
    <x:row r="6">
      <x:c r="A6" s="51" t="str">
        <x:v>CAT</x:v>
      </x:c>
      <x:c r="B6" s="51" t="str">
        <x:v>Industrials</x:v>
      </x:c>
      <x:c r="C6" s="51" t="str">
        <x:v>CFP-2026-003-R17-20260804T234500Z</x:v>
      </x:c>
      <x:c r="D6" s="56" t="str">
        <x:v>10636693843.707409</x:v>
      </x:c>
      <x:c r="E6" s="58" t="str">
        <x:v>680000.0</x:v>
      </x:c>
      <x:c r="F6" s="58" t="str">
        <x:v>690000.0</x:v>
      </x:c>
      <x:c r="G6" s="58" t="str">
        <x:v>680000000.0</x:v>
      </x:c>
      <x:c r="H6" s="56" t="str">
        <x:v>15140000000.0</x:v>
      </x:c>
      <x:c r="I6" s="58" t="str">
        <x:v>7.0</x:v>
      </x:c>
      <x:c r="J6" s="58" t="str">
        <x:v>7.0</x:v>
      </x:c>
      <x:c r="K6" s="60" t="str">
        <x:v>100.0</x:v>
      </x:c>
      <x:c r="L6" s="51" t="str">
        <x:v>High</x:v>
      </x:c>
      <x:c r="M6" s="47" t="str">
        <x:v>Issuer facility-to-FEMA county match</x:v>
      </x:c>
      <x:c r="N6" s="60" t="str">
        <x:v>0.1250652491518801</x:v>
      </x:c>
      <x:c r="O6" s="60" t="str">
        <x:v>0.1250652491518801</x:v>
      </x:c>
      <x:c r="P6" s="60" t="str">
        <x:v>11.136677389433892</x:v>
      </x:c>
      <x:c r="Q6" s="60" t="str">
        <x:v>2.1999999999999997</x:v>
      </x:c>
      <x:c r="R6" s="62" t="str">
        <x:v>0.75</x:v>
      </x:c>
      <x:c r="S6" s="62" t="str">
        <x:v>0.5</x:v>
      </x:c>
      <x:c r="T6" s="62" t="str">
        <x:v>0.5</x:v>
      </x:c>
      <x:c r="U6" s="62" t="str">
        <x:v>0.008</x:v>
      </x:c>
      <x:c r="V6" s="62" t="str">
        <x:v>0.03</x:v>
      </x:c>
      <x:c r="W6" s="62" t="str">
        <x:v>0.25</x:v>
      </x:c>
      <x:c r="X6" s="62" t="str">
        <x:v>0.5</x:v>
      </x:c>
      <x:c r="Y6" s="62" t="str">
        <x:v>0.1</x:v>
      </x:c>
      <x:c r="Z6" s="62" t="str">
        <x:v>0.25</x:v>
      </x:c>
      <x:c r="AA6" s="54" t="str">
        <x:v>1.0</x:v>
      </x:c>
      <x:c r="AB6" s="62" t="str">
        <x:v>0.6</x:v>
      </x:c>
      <x:c r="AC6" s="64" t="str">
        <x:v>0.7403100775193798</x:v>
      </x:c>
      <x:c r="AD6" s="47" t="str">
        <x:v>Common scenario elasticity + issuer SEC CapEx/CFO dependency scale</x:v>
      </x:c>
      <x:c r="AE6" s="47" t="str">
        <x:v>Modeled estimate using observed inputs + disclosed assumptions</x:v>
      </x:c>
    </x:row>
    <x:row r="7">
      <x:c r="A7" s="51" t="str">
        <x:v>CVX</x:v>
      </x:c>
      <x:c r="B7" s="51" t="str">
        <x:v>Energy</x:v>
      </x:c>
      <x:c r="C7" s="51" t="str">
        <x:v>CFP-2026-003-R17-20260804T234500Z</x:v>
      </x:c>
      <x:c r="D7" s="56" t="str">
        <x:v>18142230456.32</x:v>
      </x:c>
      <x:c r="E7" s="58" t="str">
        <x:v>54000000.0</x:v>
      </x:c>
      <x:c r="F7" s="58" t="str">
        <x:v>4000000.0</x:v>
      </x:c>
      <x:c r="G7" s="58" t="str">
        <x:v>432000000.0</x:v>
      </x:c>
      <x:c r="H7" s="56" t="str">
        <x:v>219729000000.0</x:v>
      </x:c>
      <x:c r="I7" s="58" t="str">
        <x:v>53.0</x:v>
      </x:c>
      <x:c r="J7" s="58" t="str">
        <x:v>34.0</x:v>
      </x:c>
      <x:c r="K7" s="60" t="str">
        <x:v>64.15094339622641</x:v>
      </x:c>
      <x:c r="L7" s="51" t="str">
        <x:v>Medium</x:v>
      </x:c>
      <x:c r="M7" s="47" t="str">
        <x:v>Issuer facility-to-FEMA county match</x:v>
      </x:c>
      <x:c r="N7" s="60" t="str">
        <x:v>0.31761728843062803</x:v>
      </x:c>
      <x:c r="O7" s="60" t="str">
        <x:v>0.31761728843062803</x:v>
      </x:c>
      <x:c r="P7" s="60" t="str">
        <x:v>6.7034090248596065</x:v>
      </x:c>
      <x:c r="Q7" s="60" t="str">
        <x:v>1.7999999999999998</x:v>
      </x:c>
      <x:c r="R7" s="62" t="str">
        <x:v>0.75</x:v>
      </x:c>
      <x:c r="S7" s="62" t="str">
        <x:v>0.5</x:v>
      </x:c>
      <x:c r="T7" s="62" t="str">
        <x:v>0.5</x:v>
      </x:c>
      <x:c r="U7" s="62" t="str">
        <x:v>0.003</x:v>
      </x:c>
      <x:c r="V7" s="62" t="str">
        <x:v>0.03</x:v>
      </x:c>
      <x:c r="W7" s="62" t="str">
        <x:v>0.45</x:v>
      </x:c>
      <x:c r="X7" s="62" t="str">
        <x:v>0.5</x:v>
      </x:c>
      <x:c r="Y7" s="62" t="str">
        <x:v>0.1</x:v>
      </x:c>
      <x:c r="Z7" s="62" t="str">
        <x:v>0.25</x:v>
      </x:c>
      <x:c r="AA7" s="54" t="str">
        <x:v>1.0</x:v>
      </x:c>
      <x:c r="AB7" s="62" t="str">
        <x:v>0.6</x:v>
      </x:c>
      <x:c r="AC7" s="64" t="str">
        <x:v>1.0111228969621968</x:v>
      </x:c>
      <x:c r="AD7" s="47" t="str">
        <x:v>Common scenario elasticity + issuer SEC CapEx/CFO dependency scale</x:v>
      </x:c>
      <x:c r="AE7" s="47" t="str">
        <x:v>Modeled estimate using observed inputs + disclosed assumptions</x:v>
      </x:c>
    </x:row>
    <x:row r="8">
      <x:c r="A8" s="51" t="str">
        <x:v>DE</x:v>
      </x:c>
      <x:c r="B8" s="51" t="str">
        <x:v>Industrials</x:v>
      </x:c>
      <x:c r="C8" s="51" t="str">
        <x:v>CFP-2026-003-R17-20260804T234500Z</x:v>
      </x:c>
      <x:c r="D8" s="56" t="str">
        <x:v>8631149592.456448</x:v>
      </x:c>
      <x:c r="E8" s="58" t="str">
        <x:v>353900.0</x:v>
      </x:c>
      <x:c r="F8" s="58" t="str">
        <x:v>224000.0</x:v>
      </x:c>
      <x:c r="G8" s="58" t="str">
        <x:v>81736000.0</x:v>
      </x:c>
      <x:c r="H8" s="56" t="str">
        <x:v>8079000000.0</x:v>
      </x:c>
      <x:c r="I8" s="58" t="str">
        <x:v>1.0</x:v>
      </x:c>
      <x:c r="J8" s="58" t="str">
        <x:v>1.0</x:v>
      </x:c>
      <x:c r="K8" s="60" t="str">
        <x:v>100.0</x:v>
      </x:c>
      <x:c r="L8" s="51" t="str">
        <x:v>High</x:v>
      </x:c>
      <x:c r="M8" s="47" t="str">
        <x:v>Issuer facility-to-FEMA county match</x:v>
      </x:c>
      <x:c r="N8" s="60" t="str">
        <x:v>0.1054287290454164</x:v>
      </x:c>
      <x:c r="O8" s="60" t="str">
        <x:v>0.1054287290454164</x:v>
      </x:c>
      <x:c r="P8" s="60" t="str">
        <x:v>7.853230639934694</x:v>
      </x:c>
      <x:c r="Q8" s="60" t="str">
        <x:v>2.1999999999999997</x:v>
      </x:c>
      <x:c r="R8" s="62" t="str">
        <x:v>0.75</x:v>
      </x:c>
      <x:c r="S8" s="62" t="str">
        <x:v>0.5</x:v>
      </x:c>
      <x:c r="T8" s="62" t="str">
        <x:v>0.5</x:v>
      </x:c>
      <x:c r="U8" s="62" t="str">
        <x:v>0.008</x:v>
      </x:c>
      <x:c r="V8" s="62" t="str">
        <x:v>0.03</x:v>
      </x:c>
      <x:c r="W8" s="62" t="str">
        <x:v>0.25</x:v>
      </x:c>
      <x:c r="X8" s="62" t="str">
        <x:v>0.5</x:v>
      </x:c>
      <x:c r="Y8" s="62" t="str">
        <x:v>0.1</x:v>
      </x:c>
      <x:c r="Z8" s="62" t="str">
        <x:v>0.25</x:v>
      </x:c>
      <x:c r="AA8" s="54" t="str">
        <x:v>1.0</x:v>
      </x:c>
      <x:c r="AB8" s="62" t="str">
        <x:v>0.6</x:v>
      </x:c>
      <x:c r="AC8" s="64" t="str">
        <x:v>0.6823300710551012</x:v>
      </x:c>
      <x:c r="AD8" s="47" t="str">
        <x:v>Common scenario elasticity + issuer SEC CapEx/CFO dependency scale</x:v>
      </x:c>
      <x:c r="AE8" s="47" t="str">
        <x:v>Modeled estimate using observed inputs + disclosed assumptions</x:v>
      </x:c>
    </x:row>
    <x:row r="9">
      <x:c r="A9" s="51" t="str">
        <x:v>DUK</x:v>
      </x:c>
      <x:c r="B9" s="51" t="str">
        <x:v>Utilities</x:v>
      </x:c>
      <x:c r="C9" s="51" t="str">
        <x:v>CFP-2026-003-R17-20260804T234500Z</x:v>
      </x:c>
      <x:c r="D9" s="56" t="str">
        <x:v>1531556722.6890755</x:v>
      </x:c>
      <x:c r="E9" s="58" t="str">
        <x:v>79756000.0</x:v>
      </x:c>
      <x:c r="F9" s="58" t="str">
        <x:v>254000.0</x:v>
      </x:c>
      <x:c r="G9" s="58" t="str">
        <x:v>27607700.0</x:v>
      </x:c>
      <x:c r="H9" s="56" t="str">
        <x:v>129959000000.0</x:v>
      </x:c>
      <x:c r="I9" s="58" t="str">
        <x:v>49.0</x:v>
      </x:c>
      <x:c r="J9" s="58" t="str">
        <x:v>48.0</x:v>
      </x:c>
      <x:c r="K9" s="60" t="str">
        <x:v>97.95918367346938</x:v>
      </x:c>
      <x:c r="L9" s="51" t="str">
        <x:v>High</x:v>
      </x:c>
      <x:c r="M9" s="47" t="str">
        <x:v>Issuer facility-to-FEMA county match</x:v>
      </x:c>
      <x:c r="N9" s="60" t="str">
        <x:v>0.17565995555046018</x:v>
      </x:c>
      <x:c r="O9" s="60" t="str">
        <x:v>0.17565995555046018</x:v>
      </x:c>
      <x:c r="P9" s="60" t="str">
        <x:v>5.116136979477691</x:v>
      </x:c>
      <x:c r="Q9" s="60" t="str">
        <x:v>2.0</x:v>
      </x:c>
      <x:c r="R9" s="62" t="str">
        <x:v>0.75</x:v>
      </x:c>
      <x:c r="S9" s="62" t="str">
        <x:v>0.5</x:v>
      </x:c>
      <x:c r="T9" s="62" t="str">
        <x:v>0.5</x:v>
      </x:c>
      <x:c r="U9" s="62" t="str">
        <x:v>0.005</x:v>
      </x:c>
      <x:c r="V9" s="62" t="str">
        <x:v>0.03</x:v>
      </x:c>
      <x:c r="W9" s="62" t="str">
        <x:v>0.65</x:v>
      </x:c>
      <x:c r="X9" s="62" t="str">
        <x:v>0.5</x:v>
      </x:c>
      <x:c r="Y9" s="62" t="str">
        <x:v>0.1</x:v>
      </x:c>
      <x:c r="Z9" s="62" t="str">
        <x:v>0.25</x:v>
      </x:c>
      <x:c r="AA9" s="54" t="str">
        <x:v>1.0</x:v>
      </x:c>
      <x:c r="AB9" s="62" t="str">
        <x:v>0.6</x:v>
      </x:c>
      <x:c r="AC9" s="64" t="str">
        <x:v>1.6373884833738848</x:v>
      </x:c>
      <x:c r="AD9" s="47" t="str">
        <x:v>Common scenario elasticity + issuer SEC CapEx/CFO dependency scale</x:v>
      </x:c>
      <x:c r="AE9" s="47" t="str">
        <x:v>Modeled estimate using observed inputs + disclosed assumptions</x:v>
      </x:c>
    </x:row>
    <x:row r="10">
      <x:c r="A10" s="51" t="str">
        <x:v>MSFT</x:v>
      </x:c>
      <x:c r="B10" s="51" t="str">
        <x:v>Technology</x:v>
      </x:c>
      <x:c r="C10" s="51" t="str">
        <x:v>CFP-2026-003-R17-20260804T234500Z</x:v>
      </x:c>
      <x:c r="D10" s="56" t="str">
        <x:v>73477040696.4498</x:v>
      </x:c>
      <x:c r="E10" s="58" t="str">
        <x:v>143510.0</x:v>
      </x:c>
      <x:c r="F10" s="58" t="str">
        <x:v>259090.0</x:v>
      </x:c>
      <x:c r="G10" s="58" t="str">
        <x:v>15140000.0</x:v>
      </x:c>
      <x:c r="H10" s="56" t="str">
        <x:v>261126000000.0</x:v>
      </x:c>
      <x:c r="I10" s="58" t="str">
        <x:v>0.0</x:v>
      </x:c>
      <x:c r="J10" s="58" t="str">
        <x:v>0.0</x:v>
      </x:c>
      <x:c r="K10" s="60" t="str"/>
      <x:c r="L10" s="51" t="str">
        <x:v>Unverified</x:v>
      </x:c>
      <x:c r="M10" s="47" t="str">
        <x:v>Proxy fallback; no issuer facilities in governed match file</x:v>
      </x:c>
      <x:c r="N10" s="60" t="str">
        <x:v>0.18089619337783003</x:v>
      </x:c>
      <x:c r="O10" s="60" t="str"/>
      <x:c r="P10" s="60" t="str">
        <x:v>9.627276973766637</x:v>
      </x:c>
      <x:c r="Q10" s="60" t="str">
        <x:v>2.5</x:v>
      </x:c>
      <x:c r="R10" s="62" t="str">
        <x:v>0.75</x:v>
      </x:c>
      <x:c r="S10" s="62" t="str">
        <x:v>0.5</x:v>
      </x:c>
      <x:c r="T10" s="62" t="str">
        <x:v>0.5</x:v>
      </x:c>
      <x:c r="U10" s="62" t="str">
        <x:v>0.02</x:v>
      </x:c>
      <x:c r="V10" s="62" t="str">
        <x:v>0.03</x:v>
      </x:c>
      <x:c r="W10" s="62" t="str">
        <x:v>0.1</x:v>
      </x:c>
      <x:c r="X10" s="62" t="str">
        <x:v>0.5</x:v>
      </x:c>
      <x:c r="Y10" s="62" t="str">
        <x:v>0.1</x:v>
      </x:c>
      <x:c r="Z10" s="62" t="str">
        <x:v>0.25</x:v>
      </x:c>
      <x:c r="AA10" s="54" t="str">
        <x:v>1.0</x:v>
      </x:c>
      <x:c r="AB10" s="62" t="str">
        <x:v>0.6</x:v>
      </x:c>
      <x:c r="AC10" s="64" t="str">
        <x:v>0.974074998898371</x:v>
      </x:c>
      <x:c r="AD10" s="47" t="str">
        <x:v>Common scenario elasticity + issuer SEC CapEx/CFO dependency scale</x:v>
      </x:c>
      <x:c r="AE10" s="47" t="str">
        <x:v>Modeled estimate using observed inputs + disclosed assumptions</x:v>
      </x:c>
    </x:row>
    <x:row r="11">
      <x:c r="A11" s="51" t="str">
        <x:v>NEE</x:v>
      </x:c>
      <x:c r="B11" s="51" t="str">
        <x:v>Utilities</x:v>
      </x:c>
      <x:c r="C11" s="51" t="str">
        <x:v>CFP-2026-003-R17-20260804T234500Z</x:v>
      </x:c>
      <x:c r="D11" s="56" t="str">
        <x:v>9879440000.0</x:v>
      </x:c>
      <x:c r="E11" s="58" t="str">
        <x:v>43409916.37</x:v>
      </x:c>
      <x:c r="F11" s="58" t="str">
        <x:v>25603.0</x:v>
      </x:c>
      <x:c r="G11" s="58" t="str">
        <x:v>65222.95</x:v>
      </x:c>
      <x:c r="H11" s="56" t="str">
        <x:v>156197000000.0</x:v>
      </x:c>
      <x:c r="I11" s="58" t="str">
        <x:v>27.0</x:v>
      </x:c>
      <x:c r="J11" s="58" t="str">
        <x:v>23.0</x:v>
      </x:c>
      <x:c r="K11" s="60" t="str">
        <x:v>85.18518518518519</x:v>
      </x:c>
      <x:c r="L11" s="51" t="str">
        <x:v>High</x:v>
      </x:c>
      <x:c r="M11" s="47" t="str">
        <x:v>Issuer facility-to-FEMA county match</x:v>
      </x:c>
      <x:c r="N11" s="60" t="str">
        <x:v>0.25009029941509914</x:v>
      </x:c>
      <x:c r="O11" s="60" t="str">
        <x:v>0.25009029941509914</x:v>
      </x:c>
      <x:c r="P11" s="60" t="str">
        <x:v>6.849686675720218</x:v>
      </x:c>
      <x:c r="Q11" s="60" t="str">
        <x:v>2.0</x:v>
      </x:c>
      <x:c r="R11" s="62" t="str">
        <x:v>0.75</x:v>
      </x:c>
      <x:c r="S11" s="62" t="str">
        <x:v>0.5</x:v>
      </x:c>
      <x:c r="T11" s="62" t="str">
        <x:v>0.5</x:v>
      </x:c>
      <x:c r="U11" s="62" t="str">
        <x:v>0.005</x:v>
      </x:c>
      <x:c r="V11" s="62" t="str">
        <x:v>0.03</x:v>
      </x:c>
      <x:c r="W11" s="62" t="str">
        <x:v>0.65</x:v>
      </x:c>
      <x:c r="X11" s="62" t="str">
        <x:v>0.5</x:v>
      </x:c>
      <x:c r="Y11" s="62" t="str">
        <x:v>0.1</x:v>
      </x:c>
      <x:c r="Z11" s="62" t="str">
        <x:v>0.25</x:v>
      </x:c>
      <x:c r="AA11" s="54" t="str">
        <x:v>1.0</x:v>
      </x:c>
      <x:c r="AB11" s="62" t="str">
        <x:v>0.6</x:v>
      </x:c>
      <x:c r="AC11" s="64" t="str">
        <x:v>2.0</x:v>
      </x:c>
      <x:c r="AD11" s="47" t="str">
        <x:v>Common scenario elasticity + issuer SEC CapEx/CFO dependency scale</x:v>
      </x:c>
      <x:c r="AE11" s="47" t="str">
        <x:v>Modeled estimate using observed inputs + disclosed assumptions</x:v>
      </x:c>
    </x:row>
    <x:row r="12">
      <x:c r="A12" s="51" t="str">
        <x:v>XOM</x:v>
      </x:c>
      <x:c r="B12" s="51" t="str">
        <x:v>Energy</x:v>
      </x:c>
      <x:c r="C12" s="51" t="str">
        <x:v>CFP-2026-003-R17-20260804T234500Z</x:v>
      </x:c>
      <x:c r="D12" s="56" t="str">
        <x:v>24046905786.56586</x:v>
      </x:c>
      <x:c r="E12" s="58" t="str">
        <x:v>104000000.0</x:v>
      </x:c>
      <x:c r="F12" s="58" t="str">
        <x:v>7000000.0</x:v>
      </x:c>
      <x:c r="G12" s="58" t="str">
        <x:v>630000000.0</x:v>
      </x:c>
      <x:c r="H12" s="56" t="str">
        <x:v>299373000000.0</x:v>
      </x:c>
      <x:c r="I12" s="58" t="str">
        <x:v>68.0</x:v>
      </x:c>
      <x:c r="J12" s="58" t="str">
        <x:v>49.0</x:v>
      </x:c>
      <x:c r="K12" s="60" t="str">
        <x:v>72.05882352941177</x:v>
      </x:c>
      <x:c r="L12" s="51" t="str">
        <x:v>Medium</x:v>
      </x:c>
      <x:c r="M12" s="47" t="str">
        <x:v>Issuer facility-to-FEMA county match</x:v>
      </x:c>
      <x:c r="N12" s="60" t="str">
        <x:v>0.18613243120519987</x:v>
      </x:c>
      <x:c r="O12" s="60" t="str">
        <x:v>0.18613243120519987</x:v>
      </x:c>
      <x:c r="P12" s="60" t="str">
        <x:v>5.418008975739499</x:v>
      </x:c>
      <x:c r="Q12" s="60" t="str">
        <x:v>1.7999999999999998</x:v>
      </x:c>
      <x:c r="R12" s="62" t="str">
        <x:v>0.75</x:v>
      </x:c>
      <x:c r="S12" s="62" t="str">
        <x:v>0.5</x:v>
      </x:c>
      <x:c r="T12" s="62" t="str">
        <x:v>0.5</x:v>
      </x:c>
      <x:c r="U12" s="62" t="str">
        <x:v>0.003</x:v>
      </x:c>
      <x:c r="V12" s="62" t="str">
        <x:v>0.03</x:v>
      </x:c>
      <x:c r="W12" s="62" t="str">
        <x:v>0.45</x:v>
      </x:c>
      <x:c r="X12" s="62" t="str">
        <x:v>0.5</x:v>
      </x:c>
      <x:c r="Y12" s="62" t="str">
        <x:v>0.1</x:v>
      </x:c>
      <x:c r="Z12" s="62" t="str">
        <x:v>0.25</x:v>
      </x:c>
      <x:c r="AA12" s="54" t="str">
        <x:v>1.0</x:v>
      </x:c>
      <x:c r="AB12" s="62" t="str">
        <x:v>0.6</x:v>
      </x:c>
      <x:c r="AC12" s="64" t="str">
        <x:v>1.0456609582451413</x:v>
      </x:c>
      <x:c r="AD12" s="47" t="str">
        <x:v>Common scenario elasticity + issuer SEC CapEx/CFO dependency scale</x:v>
      </x:c>
      <x:c r="AE12" s="47" t="str">
        <x:v>Modeled estimate using observed inputs + disclosed assumptions</x:v>
      </x:c>
    </x:row>
  </x:sheetData>
  <x:mergeCells>
    <x:mergeCell ref="A1:AE1"/>
    <x:mergeCell ref="A2:AE2"/>
  </x:mergeCells>
  <x:pageMargins left="0.7" right="0.7" top="0.75" bottom="0.75" header="0.3" footer="0.3"/>
  <x:legacyDrawing xmlns:r="http://schemas.openxmlformats.org/officeDocument/2006/relationships" r:id="R2cec0e86bfdb44a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34" hidden="0" customWidth="1"/>
    <x:col min="12" max="12" width="55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38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38" hidden="0" customWidth="1"/>
    <x:col min="62" max="62" width="38" hidden="0" customWidth="1"/>
    <x:col min="63" max="63" width="13" hidden="0" customWidth="1"/>
    <x:col min="64" max="64" width="13" hidden="0" customWidth="1"/>
    <x:col min="65" max="65" width="13" hidden="0" customWidth="1"/>
    <x:col min="66" max="66" width="38" hidden="0" customWidth="1"/>
    <x:col min="67" max="67" width="13" hidden="0" customWidth="1"/>
  </x:cols>
  <x:sheetData>
    <x:row r="1" ht="30" customHeight="1">
      <x:c r="A1" s="3" t="str">
        <x:v>Scenario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</x:row>
    <x:row r="2" ht="34" customHeight="1">
      <x:c r="A2" s="7" t="str">
        <x:v>8 issuers × 5 scenario comparisons × Low/Base/High = 120 governed rows; extreme outputs remain uncapped and explicitly flagged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</x:row>
    <x:row r="4" ht="34" customHeight="1">
      <x:c r="A4" s="12" t="str">
        <x:v>ticker</x:v>
      </x:c>
      <x:c r="B4" s="12" t="str">
        <x:v>sector</x:v>
      </x:c>
      <x:c r="C4" s="12" t="str">
        <x:v>scenario_pair_key</x:v>
      </x:c>
      <x:c r="D4" s="12" t="str">
        <x:v>scenario_pair</x:v>
      </x:c>
      <x:c r="E4" s="12" t="str">
        <x:v>scenario_pair_short</x:v>
      </x:c>
      <x:c r="F4" s="12" t="str">
        <x:v>target_scenario</x:v>
      </x:c>
      <x:c r="G4" s="12" t="str">
        <x:v>reference_scenario</x:v>
      </x:c>
      <x:c r="H4" s="12" t="str">
        <x:v>horizon</x:v>
      </x:c>
      <x:c r="I4" s="12" t="str">
        <x:v>assumption_case</x:v>
      </x:c>
      <x:c r="J4" s="12" t="str">
        <x:v>is_calculable</x:v>
      </x:c>
      <x:c r="K4" s="12" t="str">
        <x:v>release_id</x:v>
      </x:c>
      <x:c r="L4" s="12" t="str">
        <x:v>status</x:v>
      </x:c>
      <x:c r="M4" s="12" t="str">
        <x:v>value_impact_pct</x:v>
      </x:c>
      <x:c r="N4" s="12" t="str">
        <x:v>reference_enterprise_value_usd</x:v>
      </x:c>
      <x:c r="O4" s="12" t="str">
        <x:v>target_enterprise_value_usd</x:v>
      </x:c>
      <x:c r="P4" s="12" t="str">
        <x:v>reference_terminal_fcff_usd</x:v>
      </x:c>
      <x:c r="Q4" s="12" t="str">
        <x:v>target_terminal_fcff_usd</x:v>
      </x:c>
      <x:c r="R4" s="12" t="str">
        <x:v>terminal_fcff_delta_usd</x:v>
      </x:c>
      <x:c r="S4" s="12" t="str">
        <x:v>normalized_fcff_usd</x:v>
      </x:c>
      <x:c r="T4" s="12" t="str">
        <x:v>transition_fcff_pressure_pct</x:v>
      </x:c>
      <x:c r="U4" s="12" t="str">
        <x:v>physical_fcff_pressure_pct</x:v>
      </x:c>
      <x:c r="V4" s="12" t="str">
        <x:v>macro_supply_fcff_pressure_pct</x:v>
      </x:c>
      <x:c r="W4" s="12" t="str">
        <x:v>transition_terminal_cost_usd</x:v>
      </x:c>
      <x:c r="X4" s="12" t="str">
        <x:v>physical_terminal_cost_usd</x:v>
      </x:c>
      <x:c r="Y4" s="12" t="str">
        <x:v>macro_supply_terminal_cost_usd</x:v>
      </x:c>
      <x:c r="Z4" s="12" t="str">
        <x:v>transition_value_contribution_pct</x:v>
      </x:c>
      <x:c r="AA4" s="12" t="str">
        <x:v>physical_value_contribution_pct</x:v>
      </x:c>
      <x:c r="AB4" s="12" t="str">
        <x:v>macro_supply_value_contribution_pct</x:v>
      </x:c>
      <x:c r="AC4" s="12" t="str">
        <x:v>scope1_terminal_cost_usd</x:v>
      </x:c>
      <x:c r="AD4" s="12" t="str">
        <x:v>scope2_terminal_cost_usd</x:v>
      </x:c>
      <x:c r="AE4" s="12" t="str">
        <x:v>scope3_terminal_cost_usd</x:v>
      </x:c>
      <x:c r="AF4" s="12" t="str">
        <x:v>acute_terminal_cost_usd</x:v>
      </x:c>
      <x:c r="AG4" s="12" t="str">
        <x:v>chronic_terminal_cost_usd</x:v>
      </x:c>
      <x:c r="AH4" s="12" t="str">
        <x:v>scope1_tco2e</x:v>
      </x:c>
      <x:c r="AI4" s="12" t="str">
        <x:v>scope2_tco2e</x:v>
      </x:c>
      <x:c r="AJ4" s="12" t="str">
        <x:v>scope3_tco2e</x:v>
      </x:c>
      <x:c r="AK4" s="12" t="str">
        <x:v>net_ppe_usd</x:v>
      </x:c>
      <x:c r="AL4" s="12" t="str">
        <x:v>fema_building_eal_rate_pct</x:v>
      </x:c>
      <x:c r="AM4" s="12" t="str">
        <x:v>fema_eal_matches</x:v>
      </x:c>
      <x:c r="AN4" s="12" t="str">
        <x:v>facility_count</x:v>
      </x:c>
      <x:c r="AO4" s="12" t="str">
        <x:v>facility_match_coverage_pct</x:v>
      </x:c>
      <x:c r="AP4" s="12" t="str">
        <x:v>physical_data_confidence</x:v>
      </x:c>
      <x:c r="AQ4" s="12" t="str">
        <x:v>physical_evidence_type</x:v>
      </x:c>
      <x:c r="AR4" s="12" t="str">
        <x:v>issuer_specific_fema_rate_pct</x:v>
      </x:c>
      <x:c r="AS4" s="12" t="str">
        <x:v>cie_target_labour_loss_pct</x:v>
      </x:c>
      <x:c r="AT4" s="12" t="str">
        <x:v>cie_reference_labour_loss_pct</x:v>
      </x:c>
      <x:c r="AU4" s="12" t="str">
        <x:v>wacc_pct</x:v>
      </x:c>
      <x:c r="AV4" s="12" t="str">
        <x:v>terminal_growth_pct</x:v>
      </x:c>
      <x:c r="AW4" s="12" t="str">
        <x:v>policy_coverage</x:v>
      </x:c>
      <x:c r="AX4" s="12" t="str">
        <x:v>pass_through</x:v>
      </x:c>
      <x:c r="AY4" s="12" t="str">
        <x:v>scope2_cost_incidence</x:v>
      </x:c>
      <x:c r="AZ4" s="12" t="str">
        <x:v>scope3_value_chain_incidence</x:v>
      </x:c>
      <x:c r="BA4" s="12" t="str">
        <x:v>annual_emissions_decline</x:v>
      </x:c>
      <x:c r="BB4" s="12" t="str">
        <x:v>covered_ppe_share</x:v>
      </x:c>
      <x:c r="BC4" s="12" t="str">
        <x:v>insurance_adaptation_recovery</x:v>
      </x:c>
      <x:c r="BD4" s="12" t="str">
        <x:v>labour_cost_share</x:v>
      </x:c>
      <x:c r="BE4" s="12" t="str">
        <x:v>labour_productivity_to_fcff</x:v>
      </x:c>
      <x:c r="BF4" s="12" t="str">
        <x:v>acute_scenario_factor</x:v>
      </x:c>
      <x:c r="BG4" s="12" t="str">
        <x:v>macro_cashflow_elasticity</x:v>
      </x:c>
      <x:c r="BH4" s="12" t="str">
        <x:v>macro_dependency_scale</x:v>
      </x:c>
      <x:c r="BI4" s="12" t="str">
        <x:v>macro_specificity</x:v>
      </x:c>
      <x:c r="BJ4" s="12" t="str">
        <x:v>classification</x:v>
      </x:c>
      <x:c r="BK4" s="12" t="str">
        <x:v>target_ev_floor_flag</x:v>
      </x:c>
      <x:c r="BL4" s="12" t="str">
        <x:v>reference_ev_floor_flag</x:v>
      </x:c>
      <x:c r="BM4" s="12" t="str">
        <x:v>extreme_relative_value_flag</x:v>
      </x:c>
      <x:c r="BN4" s="12" t="str">
        <x:v>result_interpretation</x:v>
      </x:c>
      <x:c r="BO4" s="12" t="str">
        <x:v>reference_ev_share_of_target_pct</x:v>
      </x:c>
    </x:row>
    <x:row r="5">
      <x:c r="A5" s="14" t="str">
        <x:v>AAPL</x:v>
      </x:c>
      <x:c r="B5" s="14" t="str">
        <x:v>Technology</x:v>
      </x:c>
      <x:c r="C5" s="14" t="str">
        <x:v>cp_vs_baseline</x:v>
      </x:c>
      <x:c r="D5" s="47" t="str">
        <x:v>Current Policies vs baseline</x:v>
      </x:c>
      <x:c r="E5" s="14" t="str">
        <x:v>CP vs baseline</x:v>
      </x:c>
      <x:c r="F5" s="14" t="str">
        <x:v>current_policies</x:v>
      </x:c>
      <x:c r="G5" s="14" t="str">
        <x:v>baseline</x:v>
      </x:c>
      <x:c r="H5" s="14" t="str">
        <x:v>2050</x:v>
      </x:c>
      <x:c r="I5" s="14" t="str">
        <x:v>low</x:v>
      </x:c>
      <x:c r="J5" s="14" t="str">
        <x:v>True</x:v>
      </x:c>
      <x:c r="K5" s="14" t="str">
        <x:v>CFP-2026-003-R17-20260804T234500Z</x:v>
      </x:c>
      <x:c r="L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" s="66" t="str">
        <x:v>-0.27211407681032584</x:v>
      </x:c>
      <x:c r="N5" s="68" t="str">
        <x:v>1511832209193.6655</x:v>
      </x:c>
      <x:c r="O5" s="68" t="str">
        <x:v>1507718300934.697</x:v>
      </x:c>
      <x:c r="P5" s="68" t="str">
        <x:v>190556654157.15817</x:v>
      </x:c>
      <x:c r="Q5" s="68" t="str">
        <x:v>189627574241.53833</x:v>
      </x:c>
      <x:c r="R5" s="68" t="str">
        <x:v>-929079915.6198425</x:v>
      </x:c>
      <x:c r="S5" s="68" t="str">
        <x:v>102784466009.31221</x:v>
      </x:c>
      <x:c r="T5" s="66" t="str">
        <x:v>1.6878913163932233e-05</x:v>
      </x:c>
      <x:c r="U5" s="66" t="str">
        <x:v>0.05770611353466921</x:v>
      </x:c>
      <x:c r="V5" s="66" t="str">
        <x:v>0.4298380007534849</x:v>
      </x:c>
      <x:c r="W5" s="68" t="str">
        <x:v>32163.892183281387</x:v>
      </x:c>
      <x:c r="X5" s="68" t="str">
        <x:v>109962839.19579665</x:v>
      </x:c>
      <x:c r="Y5" s="68" t="str">
        <x:v>819084912.5318611</x:v>
      </x:c>
      <x:c r="Z5" s="66" t="str">
        <x:v>-1.0631669222089529e-05</x:v>
      </x:c>
      <x:c r="AA5" s="66" t="str">
        <x:v>-0.054177320508263516</x:v>
      </x:c>
      <x:c r="AB5" s="66" t="str">
        <x:v>-0.21792612463284078</x:v>
      </x:c>
      <x:c r="AC5" s="68" t="str">
        <x:v>4956.233787471931</x:v>
      </x:c>
      <x:c r="AD5" s="68" t="str">
        <x:v>74.07414628015114</x:v>
      </x:c>
      <x:c r="AE5" s="68" t="str">
        <x:v>27133.584249529304</x:v>
      </x:c>
      <x:c r="AF5" s="68" t="str">
        <x:v>1633242.989454944</x:v>
      </x:c>
      <x:c r="AG5" s="68" t="str">
        <x:v>108329596.20634171</x:v>
      </x:c>
      <x:c r="AH5" s="70" t="str">
        <x:v>55200.0</x:v>
      </x:c>
      <x:c r="AI5" s="70" t="str">
        <x:v>3300.0</x:v>
      </x:c>
      <x:c r="AJ5" s="70" t="str">
        <x:v>15110000.0</x:v>
      </x:c>
      <x:c r="AK5" s="68" t="str">
        <x:v>50159000000.0</x:v>
      </x:c>
      <x:c r="AL5" s="66" t="str">
        <x:v>0.18089619337783003</x:v>
      </x:c>
      <x:c r="AM5" s="70" t="str">
        <x:v>0.0</x:v>
      </x:c>
      <x:c r="AN5" s="70" t="str">
        <x:v>0.0</x:v>
      </x:c>
      <x:c r="AO5" s="66" t="str"/>
      <x:c r="AP5" s="14" t="str">
        <x:v>Unverified</x:v>
      </x:c>
      <x:c r="AQ5" s="47" t="str">
        <x:v>Proxy fallback; no issuer facilities in governed match file</x:v>
      </x:c>
      <x:c r="AR5" s="66" t="str"/>
      <x:c r="AS5" s="66" t="str">
        <x:v>7.579869737287252</x:v>
      </x:c>
      <x:c r="AT5" s="66" t="str">
        <x:v>0.0</x:v>
      </x:c>
      <x:c r="AU5" s="66" t="str">
        <x:v>9.468635607765986</x:v>
      </x:c>
      <x:c r="AV5" s="66" t="str">
        <x:v>2.5</x:v>
      </x:c>
      <x:c r="AW5" s="72" t="str">
        <x:v>0.5</x:v>
      </x:c>
      <x:c r="AX5" s="72" t="str">
        <x:v>0.7</x:v>
      </x:c>
      <x:c r="AY5" s="72" t="str">
        <x:v>0.25</x:v>
      </x:c>
      <x:c r="AZ5" s="72" t="str">
        <x:v>0.01</x:v>
      </x:c>
      <x:c r="BA5" s="72" t="str">
        <x:v>0.05</x:v>
      </x:c>
      <x:c r="BB5" s="72" t="str">
        <x:v>0.06</x:v>
      </x:c>
      <x:c r="BC5" s="72" t="str">
        <x:v>0.7</x:v>
      </x:c>
      <x:c r="BD5" s="72" t="str">
        <x:v>0.05</x:v>
      </x:c>
      <x:c r="BE5" s="72" t="str">
        <x:v>0.15</x:v>
      </x:c>
      <x:c r="BF5" s="14" t="str">
        <x:v>1.0</x:v>
      </x:c>
      <x:c r="BG5" s="72" t="str">
        <x:v>0.35</x:v>
      </x:c>
      <x:c r="BH5" s="74" t="str">
        <x:v>0.6140542867906926</x:v>
      </x:c>
      <x:c r="BI5" s="47" t="str">
        <x:v>Common scenario elasticity + issuer SEC CapEx/CFO dependency scale</x:v>
      </x:c>
      <x:c r="BJ5" s="47" t="str">
        <x:v>Modeled estimate using observed inputs + disclosed assumptions</x:v>
      </x:c>
      <x:c r="BK5" s="14" t="str">
        <x:v>False</x:v>
      </x:c>
      <x:c r="BL5" s="14" t="str">
        <x:v>False</x:v>
      </x:c>
      <x:c r="BM5" s="14" t="str">
        <x:v>False</x:v>
      </x:c>
      <x:c r="BN5" s="47" t="str">
        <x:v>Conditional scenario sensitivity; not a forecast or probability</x:v>
      </x:c>
      <x:c r="BO5" s="66" t="str">
        <x:v>100.27285655791391</x:v>
      </x:c>
    </x:row>
    <x:row r="6">
      <x:c r="A6" s="14" t="str">
        <x:v>AAPL</x:v>
      </x:c>
      <x:c r="B6" s="14" t="str">
        <x:v>Technology</x:v>
      </x:c>
      <x:c r="C6" s="14" t="str">
        <x:v>cp_vs_baseline</x:v>
      </x:c>
      <x:c r="D6" s="47" t="str">
        <x:v>Current Policies vs baseline</x:v>
      </x:c>
      <x:c r="E6" s="14" t="str">
        <x:v>CP vs baseline</x:v>
      </x:c>
      <x:c r="F6" s="14" t="str">
        <x:v>current_policies</x:v>
      </x:c>
      <x:c r="G6" s="14" t="str">
        <x:v>baseline</x:v>
      </x:c>
      <x:c r="H6" s="14" t="str">
        <x:v>2050</x:v>
      </x:c>
      <x:c r="I6" s="14" t="str">
        <x:v>base</x:v>
      </x:c>
      <x:c r="J6" s="14" t="str">
        <x:v>True</x:v>
      </x:c>
      <x:c r="K6" s="14" t="str">
        <x:v>CFP-2026-003-R17-20260804T234500Z</x:v>
      </x:c>
      <x:c r="L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" s="66" t="str">
        <x:v>-0.5539403113981378</x:v>
      </x:c>
      <x:c r="N6" s="68" t="str">
        <x:v>1511832209193.6655</x:v>
      </x:c>
      <x:c r="O6" s="68" t="str">
        <x:v>1503457561146.2407</x:v>
      </x:c>
      <x:c r="P6" s="68" t="str">
        <x:v>190556654157.15817</x:v>
      </x:c>
      <x:c r="Q6" s="68" t="str">
        <x:v>188786699408.97568</x:v>
      </x:c>
      <x:c r="R6" s="68" t="str">
        <x:v>-1769954748.182495</x:v>
      </x:c>
      <x:c r="S6" s="68" t="str">
        <x:v>102784466009.31221</x:v>
      </x:c>
      <x:c r="T6" s="66" t="str">
        <x:v>9.117694681199401e-05</x:v>
      </x:c>
      <x:c r="U6" s="66" t="str">
        <x:v>0.19187755039055582</x:v>
      </x:c>
      <x:c r="V6" s="66" t="str">
        <x:v>0.7368651441488312</x:v>
      </x:c>
      <x:c r="W6" s="68" t="str">
        <x:v>173743.73920758747</x:v>
      </x:c>
      <x:c r="X6" s="68" t="str">
        <x:v>365635440.1029584</x:v>
      </x:c>
      <x:c r="Y6" s="68" t="str">
        <x:v>1404145564.3403332</x:v>
      </x:c>
      <x:c r="Z6" s="66" t="str">
        <x:v>-5.011940900586668e-05</x:v>
      </x:c>
      <x:c r="AA6" s="66" t="str">
        <x:v>-0.18030254976141624</x:v>
      </x:c>
      <x:c r="AB6" s="66" t="str">
        <x:v>-0.3735876422277202</x:v>
      </x:c>
      <x:c r="AC6" s="68" t="str">
        <x:v>20859.073630896062</x:v>
      </x:c>
      <x:c r="AD6" s="68" t="str">
        <x:v>623.5049183148279</x:v>
      </x:c>
      <x:c r="AE6" s="68" t="str">
        <x:v>152261.16065837658</x:v>
      </x:c>
      <x:c r="AF6" s="68" t="str">
        <x:v>4536786.081819288</x:v>
      </x:c>
      <x:c r="AG6" s="68" t="str">
        <x:v>361098654.0211391</x:v>
      </x:c>
      <x:c r="AH6" s="70" t="str">
        <x:v>55200.0</x:v>
      </x:c>
      <x:c r="AI6" s="70" t="str">
        <x:v>3300.0</x:v>
      </x:c>
      <x:c r="AJ6" s="70" t="str">
        <x:v>15110000.0</x:v>
      </x:c>
      <x:c r="AK6" s="68" t="str">
        <x:v>50159000000.0</x:v>
      </x:c>
      <x:c r="AL6" s="66" t="str">
        <x:v>0.18089619337783003</x:v>
      </x:c>
      <x:c r="AM6" s="70" t="str">
        <x:v>0.0</x:v>
      </x:c>
      <x:c r="AN6" s="70" t="str">
        <x:v>0.0</x:v>
      </x:c>
      <x:c r="AO6" s="66" t="str"/>
      <x:c r="AP6" s="14" t="str">
        <x:v>Unverified</x:v>
      </x:c>
      <x:c r="AQ6" s="47" t="str">
        <x:v>Proxy fallback; no issuer facilities in governed match file</x:v>
      </x:c>
      <x:c r="AR6" s="66" t="str"/>
      <x:c r="AS6" s="66" t="str">
        <x:v>7.579869737287252</x:v>
      </x:c>
      <x:c r="AT6" s="66" t="str">
        <x:v>0.0</x:v>
      </x:c>
      <x:c r="AU6" s="66" t="str">
        <x:v>9.468635607765986</x:v>
      </x:c>
      <x:c r="AV6" s="66" t="str">
        <x:v>2.5</x:v>
      </x:c>
      <x:c r="AW6" s="72" t="str">
        <x:v>0.75</x:v>
      </x:c>
      <x:c r="AX6" s="72" t="str">
        <x:v>0.5</x:v>
      </x:c>
      <x:c r="AY6" s="72" t="str">
        <x:v>0.5</x:v>
      </x:c>
      <x:c r="AZ6" s="72" t="str">
        <x:v>0.02</x:v>
      </x:c>
      <x:c r="BA6" s="72" t="str">
        <x:v>0.03</x:v>
      </x:c>
      <x:c r="BB6" s="72" t="str">
        <x:v>0.1</x:v>
      </x:c>
      <x:c r="BC6" s="72" t="str">
        <x:v>0.5</x:v>
      </x:c>
      <x:c r="BD6" s="72" t="str">
        <x:v>0.1</x:v>
      </x:c>
      <x:c r="BE6" s="72" t="str">
        <x:v>0.25</x:v>
      </x:c>
      <x:c r="BF6" s="14" t="str">
        <x:v>1.0</x:v>
      </x:c>
      <x:c r="BG6" s="72" t="str">
        <x:v>0.6</x:v>
      </x:c>
      <x:c r="BH6" s="74" t="str">
        <x:v>0.6140542867906926</x:v>
      </x:c>
      <x:c r="BI6" s="47" t="str">
        <x:v>Common scenario elasticity + issuer SEC CapEx/CFO dependency scale</x:v>
      </x:c>
      <x:c r="BJ6" s="47" t="str">
        <x:v>Modeled estimate using observed inputs + disclosed assumptions</x:v>
      </x:c>
      <x:c r="BK6" s="14" t="str">
        <x:v>False</x:v>
      </x:c>
      <x:c r="BL6" s="14" t="str">
        <x:v>False</x:v>
      </x:c>
      <x:c r="BM6" s="14" t="str">
        <x:v>False</x:v>
      </x:c>
      <x:c r="BN6" s="47" t="str">
        <x:v>Conditional scenario sensitivity; not a forecast or probability</x:v>
      </x:c>
      <x:c r="BO6" s="66" t="str">
        <x:v>100.55702590241656</x:v>
      </x:c>
    </x:row>
    <x:row r="7">
      <x:c r="A7" s="14" t="str">
        <x:v>AAPL</x:v>
      </x:c>
      <x:c r="B7" s="14" t="str">
        <x:v>Technology</x:v>
      </x:c>
      <x:c r="C7" s="14" t="str">
        <x:v>cp_vs_baseline</x:v>
      </x:c>
      <x:c r="D7" s="47" t="str">
        <x:v>Current Policies vs baseline</x:v>
      </x:c>
      <x:c r="E7" s="14" t="str">
        <x:v>CP vs baseline</x:v>
      </x:c>
      <x:c r="F7" s="14" t="str">
        <x:v>current_policies</x:v>
      </x:c>
      <x:c r="G7" s="14" t="str">
        <x:v>baseline</x:v>
      </x:c>
      <x:c r="H7" s="14" t="str">
        <x:v>2050</x:v>
      </x:c>
      <x:c r="I7" s="14" t="str">
        <x:v>high</x:v>
      </x:c>
      <x:c r="J7" s="14" t="str">
        <x:v>True</x:v>
      </x:c>
      <x:c r="K7" s="14" t="str">
        <x:v>CFP-2026-003-R17-20260804T234500Z</x:v>
      </x:c>
      <x:c r="L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" s="66" t="str">
        <x:v>-1.1979239537032282</x:v>
      </x:c>
      <x:c r="N7" s="68" t="str">
        <x:v>1511832209193.6655</x:v>
      </x:c>
      <x:c r="O7" s="68" t="str">
        <x:v>1493721609019.9338</x:v>
      </x:c>
      <x:c r="P7" s="68" t="str">
        <x:v>190556654157.15817</x:v>
      </x:c>
      <x:c r="Q7" s="68" t="str">
        <x:v>187051543444.54913</x:v>
      </x:c>
      <x:c r="R7" s="68" t="str">
        <x:v>-3505110712.6090393</x:v>
      </x:c>
      <x:c r="S7" s="68" t="str">
        <x:v>102784466009.31221</x:v>
      </x:c>
      <x:c r="T7" s="66" t="str">
        <x:v>0.00040821813140701804</x:v>
      </x:c>
      <x:c r="U7" s="66" t="str">
        <x:v>0.6108893041343081</x:v>
      </x:c>
      <x:c r="V7" s="66" t="str">
        <x:v>1.2281085735813853</x:v>
      </x:c>
      <x:c r="W7" s="68" t="str">
        <x:v>777886.8128720848</x:v>
      </x:c>
      <x:c r="X7" s="68" t="str">
        <x:v>1164090218.5622835</x:v>
      </x:c>
      <x:c r="Y7" s="68" t="str">
        <x:v>2340242607.2338886</x:v>
      </x:c>
      <x:c r="Z7" s="66" t="str">
        <x:v>-0.00019952091348361518</x:v>
      </x:c>
      <x:c r="AA7" s="66" t="str">
        <x:v>-0.5750783624102103</x:v>
      </x:c>
      <x:c r="AB7" s="66" t="str">
        <x:v>-0.622646070379539</x:v>
      </x:c>
      <x:c r="AC7" s="68" t="str">
        <x:v>64855.72189032825</x:v>
      </x:c>
      <x:c r="AD7" s="68" t="str">
        <x:v>2907.9331825826525</x:v>
      </x:c>
      <x:c r="AE7" s="68" t="str">
        <x:v>710123.1577991738</x:v>
      </x:c>
      <x:c r="AF7" s="68" t="str">
        <x:v>8574525.694638453</x:v>
      </x:c>
      <x:c r="AG7" s="68" t="str">
        <x:v>1155515692.867645</x:v>
      </x:c>
      <x:c r="AH7" s="70" t="str">
        <x:v>55200.0</x:v>
      </x:c>
      <x:c r="AI7" s="70" t="str">
        <x:v>3300.0</x:v>
      </x:c>
      <x:c r="AJ7" s="70" t="str">
        <x:v>15110000.0</x:v>
      </x:c>
      <x:c r="AK7" s="68" t="str">
        <x:v>50159000000.0</x:v>
      </x:c>
      <x:c r="AL7" s="66" t="str">
        <x:v>0.18089619337783003</x:v>
      </x:c>
      <x:c r="AM7" s="70" t="str">
        <x:v>0.0</x:v>
      </x:c>
      <x:c r="AN7" s="70" t="str">
        <x:v>0.0</x:v>
      </x:c>
      <x:c r="AO7" s="66" t="str"/>
      <x:c r="AP7" s="14" t="str">
        <x:v>Unverified</x:v>
      </x:c>
      <x:c r="AQ7" s="47" t="str">
        <x:v>Proxy fallback; no issuer facilities in governed match file</x:v>
      </x:c>
      <x:c r="AR7" s="66" t="str"/>
      <x:c r="AS7" s="66" t="str">
        <x:v>7.579869737287252</x:v>
      </x:c>
      <x:c r="AT7" s="66" t="str">
        <x:v>0.0</x:v>
      </x:c>
      <x:c r="AU7" s="66" t="str">
        <x:v>9.468635607765986</x:v>
      </x:c>
      <x:c r="AV7" s="66" t="str">
        <x:v>2.5</x:v>
      </x:c>
      <x:c r="AW7" s="72" t="str">
        <x:v>1.0</x:v>
      </x:c>
      <x:c r="AX7" s="72" t="str">
        <x:v>0.3</x:v>
      </x:c>
      <x:c r="AY7" s="72" t="str">
        <x:v>0.75</x:v>
      </x:c>
      <x:c r="AZ7" s="72" t="str">
        <x:v>0.04</x:v>
      </x:c>
      <x:c r="BA7" s="72" t="str">
        <x:v>0.01</x:v>
      </x:c>
      <x:c r="BB7" s="72" t="str">
        <x:v>0.135</x:v>
      </x:c>
      <x:c r="BC7" s="72" t="str">
        <x:v>0.3</x:v>
      </x:c>
      <x:c r="BD7" s="72" t="str">
        <x:v>0.2</x:v>
      </x:c>
      <x:c r="BE7" s="72" t="str">
        <x:v>0.4</x:v>
      </x:c>
      <x:c r="BF7" s="14" t="str">
        <x:v>1.0</x:v>
      </x:c>
      <x:c r="BG7" s="72" t="str">
        <x:v>1.0</x:v>
      </x:c>
      <x:c r="BH7" s="74" t="str">
        <x:v>0.6140542867906926</x:v>
      </x:c>
      <x:c r="BI7" s="47" t="str">
        <x:v>Common scenario elasticity + issuer SEC CapEx/CFO dependency scale</x:v>
      </x:c>
      <x:c r="BJ7" s="47" t="str">
        <x:v>Modeled estimate using observed inputs + disclosed assumptions</x:v>
      </x:c>
      <x:c r="BK7" s="14" t="str">
        <x:v>False</x:v>
      </x:c>
      <x:c r="BL7" s="14" t="str">
        <x:v>False</x:v>
      </x:c>
      <x:c r="BM7" s="14" t="str">
        <x:v>False</x:v>
      </x:c>
      <x:c r="BN7" s="47" t="str">
        <x:v>Conditional scenario sensitivity; not a forecast or probability</x:v>
      </x:c>
      <x:c r="BO7" s="66" t="str">
        <x:v>101.21244816064585</x:v>
      </x:c>
    </x:row>
    <x:row r="8">
      <x:c r="A8" s="14" t="str">
        <x:v>CAT</x:v>
      </x:c>
      <x:c r="B8" s="14" t="str">
        <x:v>Industrials</x:v>
      </x:c>
      <x:c r="C8" s="14" t="str">
        <x:v>cp_vs_baseline</x:v>
      </x:c>
      <x:c r="D8" s="47" t="str">
        <x:v>Current Policies vs baseline</x:v>
      </x:c>
      <x:c r="E8" s="14" t="str">
        <x:v>CP vs baseline</x:v>
      </x:c>
      <x:c r="F8" s="14" t="str">
        <x:v>current_policies</x:v>
      </x:c>
      <x:c r="G8" s="14" t="str">
        <x:v>baseline</x:v>
      </x:c>
      <x:c r="H8" s="14" t="str">
        <x:v>2050</x:v>
      </x:c>
      <x:c r="I8" s="14" t="str">
        <x:v>low</x:v>
      </x:c>
      <x:c r="J8" s="14" t="str">
        <x:v>True</x:v>
      </x:c>
      <x:c r="K8" s="14" t="str">
        <x:v>CFP-2026-003-R17-20260804T234500Z</x:v>
      </x:c>
      <x:c r="L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" s="66" t="str">
        <x:v>-0.28339943304145354</x:v>
      </x:c>
      <x:c r="N8" s="68" t="str">
        <x:v>121641418108.2752</x:v>
      </x:c>
      <x:c r="O8" s="68" t="str">
        <x:v>121296687019.01277</x:v>
      </x:c>
      <x:c r="P8" s="68" t="str">
        <x:v>18326479866.126686</x:v>
      </x:c>
      <x:c r="Q8" s="68" t="str">
        <x:v>18219673443.99643</x:v>
      </x:c>
      <x:c r="R8" s="68" t="str">
        <x:v>-106806422.13025665</x:v>
      </x:c>
      <x:c r="S8" s="68" t="str">
        <x:v>10636693843.707409</x:v>
      </x:c>
      <x:c r="T8" s="66" t="str">
        <x:v>0.0030828818182529515</x:v>
      </x:c>
      <x:c r="U8" s="66" t="str">
        <x:v>0.06149841314000866</x:v>
      </x:c>
      <x:c r="V8" s="66" t="str">
        <x:v>0.5182170542635658</x:v>
      </x:c>
      <x:c r="W8" s="68" t="str">
        <x:v>564983.7157186074</x:v>
      </x:c>
      <x:c r="X8" s="68" t="str">
        <x:v>11270494.302091096</x:v>
      </x:c>
      <x:c r="Y8" s="68" t="str">
        <x:v>94970944.11244719</x:v>
      </x:c>
      <x:c r="Z8" s="66" t="str">
        <x:v>-0.001666038519903736</x:v>
      </x:c>
      <x:c r="AA8" s="66" t="str">
        <x:v>-0.05565339617883704</x:v>
      </x:c>
      <x:c r="AB8" s="66" t="str">
        <x:v>-0.22607999834271275</x:v>
      </x:c>
      <x:c r="AC8" s="68" t="str">
        <x:v>61055.05390363973</x:v>
      </x:c>
      <x:c r="AD8" s="68" t="str">
        <x:v>15488.230585849786</x:v>
      </x:c>
      <x:c r="AE8" s="68" t="str">
        <x:v>488440.43122911785</x:v>
      </x:c>
      <x:c r="AF8" s="68" t="str">
        <x:v>852069.5424717591</x:v>
      </x:c>
      <x:c r="AG8" s="68" t="str">
        <x:v>10418424.759619337</x:v>
      </x:c>
      <x:c r="AH8" s="70" t="str">
        <x:v>680000.0</x:v>
      </x:c>
      <x:c r="AI8" s="70" t="str">
        <x:v>690000.0</x:v>
      </x:c>
      <x:c r="AJ8" s="70" t="str">
        <x:v>680000000.0</x:v>
      </x:c>
      <x:c r="AK8" s="68" t="str">
        <x:v>15140000000.0</x:v>
      </x:c>
      <x:c r="AL8" s="66" t="str">
        <x:v>0.1250652491518801</x:v>
      </x:c>
      <x:c r="AM8" s="70" t="str">
        <x:v>7.0</x:v>
      </x:c>
      <x:c r="AN8" s="70" t="str">
        <x:v>7.0</x:v>
      </x:c>
      <x:c r="AO8" s="66" t="str">
        <x:v>100.0</x:v>
      </x:c>
      <x:c r="AP8" s="14" t="str">
        <x:v>High</x:v>
      </x:c>
      <x:c r="AQ8" s="47" t="str">
        <x:v>Issuer facility-to-FEMA county match</x:v>
      </x:c>
      <x:c r="AR8" s="66" t="str">
        <x:v>0.1250652491518801</x:v>
      </x:c>
      <x:c r="AS8" s="66" t="str">
        <x:v>7.579869737287252</x:v>
      </x:c>
      <x:c r="AT8" s="66" t="str">
        <x:v>0.0</x:v>
      </x:c>
      <x:c r="AU8" s="66" t="str">
        <x:v>11.136677389433892</x:v>
      </x:c>
      <x:c r="AV8" s="66" t="str">
        <x:v>2.1999999999999997</x:v>
      </x:c>
      <x:c r="AW8" s="72" t="str">
        <x:v>0.5</x:v>
      </x:c>
      <x:c r="AX8" s="72" t="str">
        <x:v>0.7</x:v>
      </x:c>
      <x:c r="AY8" s="72" t="str">
        <x:v>0.25</x:v>
      </x:c>
      <x:c r="AZ8" s="72" t="str">
        <x:v>0.004</x:v>
      </x:c>
      <x:c r="BA8" s="72" t="str">
        <x:v>0.05</x:v>
      </x:c>
      <x:c r="BB8" s="72" t="str">
        <x:v>0.15</x:v>
      </x:c>
      <x:c r="BC8" s="72" t="str">
        <x:v>0.7</x:v>
      </x:c>
      <x:c r="BD8" s="72" t="str">
        <x:v>0.05</x:v>
      </x:c>
      <x:c r="BE8" s="72" t="str">
        <x:v>0.15</x:v>
      </x:c>
      <x:c r="BF8" s="14" t="str">
        <x:v>1.0</x:v>
      </x:c>
      <x:c r="BG8" s="72" t="str">
        <x:v>0.35</x:v>
      </x:c>
      <x:c r="BH8" s="74" t="str">
        <x:v>0.7403100775193798</x:v>
      </x:c>
      <x:c r="BI8" s="47" t="str">
        <x:v>Common scenario elasticity + issuer SEC CapEx/CFO dependency scale</x:v>
      </x:c>
      <x:c r="BJ8" s="47" t="str">
        <x:v>Modeled estimate using observed inputs + disclosed assumptions</x:v>
      </x:c>
      <x:c r="BK8" s="14" t="str">
        <x:v>False</x:v>
      </x:c>
      <x:c r="BL8" s="14" t="str">
        <x:v>False</x:v>
      </x:c>
      <x:c r="BM8" s="14" t="str">
        <x:v>False</x:v>
      </x:c>
      <x:c r="BN8" s="47" t="str">
        <x:v>Conditional scenario sensitivity; not a forecast or probability</x:v>
      </x:c>
      <x:c r="BO8" s="66" t="str">
        <x:v>100.28420486802612</x:v>
      </x:c>
    </x:row>
    <x:row r="9">
      <x:c r="A9" s="14" t="str">
        <x:v>CAT</x:v>
      </x:c>
      <x:c r="B9" s="14" t="str">
        <x:v>Industrials</x:v>
      </x:c>
      <x:c r="C9" s="14" t="str">
        <x:v>cp_vs_baseline</x:v>
      </x:c>
      <x:c r="D9" s="47" t="str">
        <x:v>Current Policies vs baseline</x:v>
      </x:c>
      <x:c r="E9" s="14" t="str">
        <x:v>CP vs baseline</x:v>
      </x:c>
      <x:c r="F9" s="14" t="str">
        <x:v>current_policies</x:v>
      </x:c>
      <x:c r="G9" s="14" t="str">
        <x:v>baseline</x:v>
      </x:c>
      <x:c r="H9" s="14" t="str">
        <x:v>2050</x:v>
      </x:c>
      <x:c r="I9" s="14" t="str">
        <x:v>base</x:v>
      </x:c>
      <x:c r="J9" s="14" t="str">
        <x:v>True</x:v>
      </x:c>
      <x:c r="K9" s="14" t="str">
        <x:v>CFP-2026-003-R17-20260804T234500Z</x:v>
      </x:c>
      <x:c r="L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" s="66" t="str">
        <x:v>-0.5795814964330126</x:v>
      </x:c>
      <x:c r="N9" s="68" t="str">
        <x:v>121641418108.2752</x:v>
      </x:c>
      <x:c r="O9" s="68" t="str">
        <x:v>120936406956.92093</x:v>
      </x:c>
      <x:c r="P9" s="68" t="str">
        <x:v>18326479866.126686</x:v>
      </x:c>
      <x:c r="Q9" s="68" t="str">
        <x:v>18123449359.74854</x:v>
      </x:c>
      <x:c r="R9" s="68" t="str">
        <x:v>-203030506.37814713</x:v>
      </x:c>
      <x:c r="S9" s="68" t="str">
        <x:v>10636693843.707409</x:v>
      </x:c>
      <x:c r="T9" s="66" t="str">
        <x:v>0.01706946049944162</x:v>
      </x:c>
      <x:c r="U9" s="66" t="str">
        <x:v>0.20241171596094312</x:v>
      </x:c>
      <x:c r="V9" s="66" t="str">
        <x:v>0.8883720930232557</x:v>
      </x:c>
      <x:c r="W9" s="68" t="str">
        <x:v>3128231.241686616</x:v>
      </x:c>
      <x:c r="X9" s="68" t="str">
        <x:v>37094942.37226378</x:v>
      </x:c>
      <x:c r="Y9" s="68" t="str">
        <x:v>162807332.7641952</x:v>
      </x:c>
      <x:c r="Z9" s="66" t="str">
        <x:v>-0.007867990977488748</x:v>
      </x:c>
      <x:c r="AA9" s="66" t="str">
        <x:v>-0.18414779401087336</x:v>
      </x:c>
      <x:c r="AB9" s="66" t="str">
        <x:v>-0.38756571144465013</x:v>
      </x:c>
      <x:c r="AC9" s="68" t="str">
        <x:v>256959.60269944425</x:v>
      </x:c>
      <x:c r="AD9" s="68" t="str">
        <x:v>130369.21019310037</x:v>
      </x:c>
      <x:c r="AE9" s="68" t="str">
        <x:v>2740902.4287940715</x:v>
      </x:c>
      <x:c r="AF9" s="68" t="str">
        <x:v>2366859.840199331</x:v>
      </x:c>
      <x:c r="AG9" s="68" t="str">
        <x:v>34728082.53206445</x:v>
      </x:c>
      <x:c r="AH9" s="70" t="str">
        <x:v>680000.0</x:v>
      </x:c>
      <x:c r="AI9" s="70" t="str">
        <x:v>690000.0</x:v>
      </x:c>
      <x:c r="AJ9" s="70" t="str">
        <x:v>680000000.0</x:v>
      </x:c>
      <x:c r="AK9" s="68" t="str">
        <x:v>15140000000.0</x:v>
      </x:c>
      <x:c r="AL9" s="66" t="str">
        <x:v>0.1250652491518801</x:v>
      </x:c>
      <x:c r="AM9" s="70" t="str">
        <x:v>7.0</x:v>
      </x:c>
      <x:c r="AN9" s="70" t="str">
        <x:v>7.0</x:v>
      </x:c>
      <x:c r="AO9" s="66" t="str">
        <x:v>100.0</x:v>
      </x:c>
      <x:c r="AP9" s="14" t="str">
        <x:v>High</x:v>
      </x:c>
      <x:c r="AQ9" s="47" t="str">
        <x:v>Issuer facility-to-FEMA county match</x:v>
      </x:c>
      <x:c r="AR9" s="66" t="str">
        <x:v>0.1250652491518801</x:v>
      </x:c>
      <x:c r="AS9" s="66" t="str">
        <x:v>7.579869737287252</x:v>
      </x:c>
      <x:c r="AT9" s="66" t="str">
        <x:v>0.0</x:v>
      </x:c>
      <x:c r="AU9" s="66" t="str">
        <x:v>11.136677389433892</x:v>
      </x:c>
      <x:c r="AV9" s="66" t="str">
        <x:v>2.1999999999999997</x:v>
      </x:c>
      <x:c r="AW9" s="72" t="str">
        <x:v>0.75</x:v>
      </x:c>
      <x:c r="AX9" s="72" t="str">
        <x:v>0.5</x:v>
      </x:c>
      <x:c r="AY9" s="72" t="str">
        <x:v>0.5</x:v>
      </x:c>
      <x:c r="AZ9" s="72" t="str">
        <x:v>0.008</x:v>
      </x:c>
      <x:c r="BA9" s="72" t="str">
        <x:v>0.03</x:v>
      </x:c>
      <x:c r="BB9" s="72" t="str">
        <x:v>0.25</x:v>
      </x:c>
      <x:c r="BC9" s="72" t="str">
        <x:v>0.5</x:v>
      </x:c>
      <x:c r="BD9" s="72" t="str">
        <x:v>0.1</x:v>
      </x:c>
      <x:c r="BE9" s="72" t="str">
        <x:v>0.25</x:v>
      </x:c>
      <x:c r="BF9" s="14" t="str">
        <x:v>1.0</x:v>
      </x:c>
      <x:c r="BG9" s="72" t="str">
        <x:v>0.6</x:v>
      </x:c>
      <x:c r="BH9" s="74" t="str">
        <x:v>0.7403100775193798</x:v>
      </x:c>
      <x:c r="BI9" s="47" t="str">
        <x:v>Common scenario elasticity + issuer SEC CapEx/CFO dependency scale</x:v>
      </x:c>
      <x:c r="BJ9" s="47" t="str">
        <x:v>Modeled estimate using observed inputs + disclosed assumptions</x:v>
      </x:c>
      <x:c r="BK9" s="14" t="str">
        <x:v>False</x:v>
      </x:c>
      <x:c r="BL9" s="14" t="str">
        <x:v>False</x:v>
      </x:c>
      <x:c r="BM9" s="14" t="str">
        <x:v>False</x:v>
      </x:c>
      <x:c r="BN9" s="47" t="str">
        <x:v>Conditional scenario sensitivity; not a forecast or probability</x:v>
      </x:c>
      <x:c r="BO9" s="66" t="str">
        <x:v>100.58296022603469</x:v>
      </x:c>
    </x:row>
    <x:row r="10">
      <x:c r="A10" s="14" t="str">
        <x:v>CAT</x:v>
      </x:c>
      <x:c r="B10" s="14" t="str">
        <x:v>Industrials</x:v>
      </x:c>
      <x:c r="C10" s="14" t="str">
        <x:v>cp_vs_baseline</x:v>
      </x:c>
      <x:c r="D10" s="47" t="str">
        <x:v>Current Policies vs baseline</x:v>
      </x:c>
      <x:c r="E10" s="14" t="str">
        <x:v>CP vs baseline</x:v>
      </x:c>
      <x:c r="F10" s="14" t="str">
        <x:v>current_policies</x:v>
      </x:c>
      <x:c r="G10" s="14" t="str">
        <x:v>baseline</x:v>
      </x:c>
      <x:c r="H10" s="14" t="str">
        <x:v>2050</x:v>
      </x:c>
      <x:c r="I10" s="14" t="str">
        <x:v>high</x:v>
      </x:c>
      <x:c r="J10" s="14" t="str">
        <x:v>True</x:v>
      </x:c>
      <x:c r="K10" s="14" t="str">
        <x:v>CFP-2026-003-R17-20260804T234500Z</x:v>
      </x:c>
      <x:c r="L1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" s="66" t="str">
        <x:v>-1.2573238733975978</x:v>
      </x:c>
      <x:c r="N10" s="68" t="str">
        <x:v>121641418108.2752</x:v>
      </x:c>
      <x:c r="O10" s="68" t="str">
        <x:v>120111991518.46048</x:v>
      </x:c>
      <x:c r="P10" s="68" t="str">
        <x:v>18326479866.126686</x:v>
      </x:c>
      <x:c r="Q10" s="68" t="str">
        <x:v>17925340955.849358</x:v>
      </x:c>
      <x:c r="R10" s="68" t="str">
        <x:v>-401138910.2773285</x:v>
      </x:c>
      <x:c r="S10" s="68" t="str">
        <x:v>10636693843.707409</x:v>
      </x:c>
      <x:c r="T10" s="66" t="str">
        <x:v>0.07742963500580559</x:v>
      </x:c>
      <x:c r="U10" s="66" t="str">
        <x:v>0.6307988770623402</x:v>
      </x:c>
      <x:c r="V10" s="66" t="str">
        <x:v>1.4806201550387597</x:v>
      </x:c>
      <x:c r="W10" s="68" t="str">
        <x:v>14190126.46975434</x:v>
      </x:c>
      <x:c r="X10" s="68" t="str">
        <x:v>115603229.200583</x:v>
      </x:c>
      <x:c r="Y10" s="68" t="str">
        <x:v>271345554.606992</x:v>
      </x:c>
      <x:c r="Z10" s="66" t="str">
        <x:v>-0.031039179288601393</x:v>
      </x:c>
      <x:c r="AA10" s="66" t="str">
        <x:v>-0.5803418417012323</x:v>
      </x:c>
      <x:c r="AB10" s="66" t="str">
        <x:v>-0.6459428524077598</x:v>
      </x:c>
      <x:c r="AC10" s="68" t="str">
        <x:v>798947.2986489712</x:v>
      </x:c>
      <x:c r="AD10" s="68" t="str">
        <x:v>608022.3927218274</x:v>
      </x:c>
      <x:c r="AE10" s="68" t="str">
        <x:v>12783156.778383542</x:v>
      </x:c>
      <x:c r="AF10" s="68" t="str">
        <x:v>4473365.097976735</x:v>
      </x:c>
      <x:c r="AG10" s="68" t="str">
        <x:v>111129864.10260627</x:v>
      </x:c>
      <x:c r="AH10" s="70" t="str">
        <x:v>680000.0</x:v>
      </x:c>
      <x:c r="AI10" s="70" t="str">
        <x:v>690000.0</x:v>
      </x:c>
      <x:c r="AJ10" s="70" t="str">
        <x:v>680000000.0</x:v>
      </x:c>
      <x:c r="AK10" s="68" t="str">
        <x:v>15140000000.0</x:v>
      </x:c>
      <x:c r="AL10" s="66" t="str">
        <x:v>0.1250652491518801</x:v>
      </x:c>
      <x:c r="AM10" s="70" t="str">
        <x:v>7.0</x:v>
      </x:c>
      <x:c r="AN10" s="70" t="str">
        <x:v>7.0</x:v>
      </x:c>
      <x:c r="AO10" s="66" t="str">
        <x:v>100.0</x:v>
      </x:c>
      <x:c r="AP10" s="14" t="str">
        <x:v>High</x:v>
      </x:c>
      <x:c r="AQ10" s="47" t="str">
        <x:v>Issuer facility-to-FEMA county match</x:v>
      </x:c>
      <x:c r="AR10" s="66" t="str">
        <x:v>0.1250652491518801</x:v>
      </x:c>
      <x:c r="AS10" s="66" t="str">
        <x:v>7.579869737287252</x:v>
      </x:c>
      <x:c r="AT10" s="66" t="str">
        <x:v>0.0</x:v>
      </x:c>
      <x:c r="AU10" s="66" t="str">
        <x:v>11.136677389433892</x:v>
      </x:c>
      <x:c r="AV10" s="66" t="str">
        <x:v>2.1999999999999997</x:v>
      </x:c>
      <x:c r="AW10" s="72" t="str">
        <x:v>1.0</x:v>
      </x:c>
      <x:c r="AX10" s="72" t="str">
        <x:v>0.3</x:v>
      </x:c>
      <x:c r="AY10" s="72" t="str">
        <x:v>0.75</x:v>
      </x:c>
      <x:c r="AZ10" s="72" t="str">
        <x:v>0.016</x:v>
      </x:c>
      <x:c r="BA10" s="72" t="str">
        <x:v>0.01</x:v>
      </x:c>
      <x:c r="BB10" s="72" t="str">
        <x:v>0.3375</x:v>
      </x:c>
      <x:c r="BC10" s="72" t="str">
        <x:v>0.3</x:v>
      </x:c>
      <x:c r="BD10" s="72" t="str">
        <x:v>0.2</x:v>
      </x:c>
      <x:c r="BE10" s="72" t="str">
        <x:v>0.4</x:v>
      </x:c>
      <x:c r="BF10" s="14" t="str">
        <x:v>1.0</x:v>
      </x:c>
      <x:c r="BG10" s="72" t="str">
        <x:v>1.0</x:v>
      </x:c>
      <x:c r="BH10" s="74" t="str">
        <x:v>0.7403100775193798</x:v>
      </x:c>
      <x:c r="BI10" s="47" t="str">
        <x:v>Common scenario elasticity + issuer SEC CapEx/CFO dependency scale</x:v>
      </x:c>
      <x:c r="BJ10" s="47" t="str">
        <x:v>Modeled estimate using observed inputs + disclosed assumptions</x:v>
      </x:c>
      <x:c r="BK10" s="14" t="str">
        <x:v>False</x:v>
      </x:c>
      <x:c r="BL10" s="14" t="str">
        <x:v>False</x:v>
      </x:c>
      <x:c r="BM10" s="14" t="str">
        <x:v>False</x:v>
      </x:c>
      <x:c r="BN10" s="47" t="str">
        <x:v>Conditional scenario sensitivity; not a forecast or probability</x:v>
      </x:c>
      <x:c r="BO10" s="66" t="str">
        <x:v>101.27333380329446</x:v>
      </x:c>
    </x:row>
    <x:row r="11">
      <x:c r="A11" s="14" t="str">
        <x:v>CVX</x:v>
      </x:c>
      <x:c r="B11" s="14" t="str">
        <x:v>Energy</x:v>
      </x:c>
      <x:c r="C11" s="14" t="str">
        <x:v>cp_vs_baseline</x:v>
      </x:c>
      <x:c r="D11" s="47" t="str">
        <x:v>Current Policies vs baseline</x:v>
      </x:c>
      <x:c r="E11" s="14" t="str">
        <x:v>CP vs baseline</x:v>
      </x:c>
      <x:c r="F11" s="14" t="str">
        <x:v>current_policies</x:v>
      </x:c>
      <x:c r="G11" s="14" t="str">
        <x:v>baseline</x:v>
      </x:c>
      <x:c r="H11" s="14" t="str">
        <x:v>2050</x:v>
      </x:c>
      <x:c r="I11" s="14" t="str">
        <x:v>low</x:v>
      </x:c>
      <x:c r="J11" s="14" t="str">
        <x:v>True</x:v>
      </x:c>
      <x:c r="K11" s="14" t="str">
        <x:v>CFP-2026-003-R17-20260804T234500Z</x:v>
      </x:c>
      <x:c r="L1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" s="66" t="str">
        <x:v>-0.6244122467019553</x:v>
      </x:c>
      <x:c r="N11" s="68" t="str">
        <x:v>376652049847.3526</x:v>
      </x:c>
      <x:c r="O11" s="68" t="str">
        <x:v>374300188320.6518</x:v>
      </x:c>
      <x:c r="P11" s="68" t="str">
        <x:v>28339039686.316536</x:v>
      </x:c>
      <x:c r="Q11" s="68" t="str">
        <x:v>28060765134.98977</x:v>
      </x:c>
      <x:c r="R11" s="68" t="str">
        <x:v>-278274551.32676697</x:v>
      </x:c>
      <x:c r="S11" s="68" t="str">
        <x:v>18142230456.32</x:v>
      </x:c>
      <x:c r="T11" s="66" t="str">
        <x:v>0.017836314230895364</x:v>
      </x:c>
      <x:c r="U11" s="66" t="str">
        <x:v>0.2563253682166432</x:v>
      </x:c>
      <x:c r="V11" s="66" t="str">
        <x:v>0.7077860278735378</x:v>
      </x:c>
      <x:c r="W11" s="68" t="str">
        <x:v>5054640.168469561</x:v>
      </x:c>
      <x:c r="X11" s="68" t="str">
        <x:v>72640147.8250115</x:v>
      </x:c>
      <x:c r="Y11" s="68" t="str">
        <x:v>200579763.3332853</x:v>
      </x:c>
      <x:c r="Z11" s="66" t="str">
        <x:v>-0.012385124295967987</x:v>
      </x:c>
      <x:c r="AA11" s="66" t="str">
        <x:v>-0.18599494421620796</x:v>
      </x:c>
      <x:c r="AB11" s="66" t="str">
        <x:v>-0.42603217818977474</x:v>
      </x:c>
      <x:c r="AC11" s="68" t="str">
        <x:v>4848489.574700802</x:v>
      </x:c>
      <x:c r="AD11" s="68" t="str">
        <x:v>89786.84397594079</x:v>
      </x:c>
      <x:c r="AE11" s="68" t="str">
        <x:v>116363.74979281925</x:v>
      </x:c>
      <x:c r="AF11" s="68" t="str">
        <x:v>56529680.627354525</x:v>
      </x:c>
      <x:c r="AG11" s="68" t="str">
        <x:v>16110467.197656987</x:v>
      </x:c>
      <x:c r="AH11" s="70" t="str">
        <x:v>54000000.0</x:v>
      </x:c>
      <x:c r="AI11" s="70" t="str">
        <x:v>4000000.0</x:v>
      </x:c>
      <x:c r="AJ11" s="70" t="str">
        <x:v>432000000.0</x:v>
      </x:c>
      <x:c r="AK11" s="68" t="str">
        <x:v>219729000000.0</x:v>
      </x:c>
      <x:c r="AL11" s="66" t="str">
        <x:v>0.31761728843062803</x:v>
      </x:c>
      <x:c r="AM11" s="70" t="str">
        <x:v>34.0</x:v>
      </x:c>
      <x:c r="AN11" s="70" t="str">
        <x:v>53.0</x:v>
      </x:c>
      <x:c r="AO11" s="66" t="str">
        <x:v>64.15094339622641</x:v>
      </x:c>
      <x:c r="AP11" s="14" t="str">
        <x:v>Medium</x:v>
      </x:c>
      <x:c r="AQ11" s="47" t="str">
        <x:v>Issuer facility-to-FEMA county match</x:v>
      </x:c>
      <x:c r="AR11" s="66" t="str">
        <x:v>0.31761728843062803</x:v>
      </x:c>
      <x:c r="AS11" s="66" t="str">
        <x:v>7.579869737287252</x:v>
      </x:c>
      <x:c r="AT11" s="66" t="str">
        <x:v>0.0</x:v>
      </x:c>
      <x:c r="AU11" s="66" t="str">
        <x:v>6.7034090248596065</x:v>
      </x:c>
      <x:c r="AV11" s="66" t="str">
        <x:v>1.7999999999999998</x:v>
      </x:c>
      <x:c r="AW11" s="72" t="str">
        <x:v>0.5</x:v>
      </x:c>
      <x:c r="AX11" s="72" t="str">
        <x:v>0.7</x:v>
      </x:c>
      <x:c r="AY11" s="72" t="str">
        <x:v>0.25</x:v>
      </x:c>
      <x:c r="AZ11" s="72" t="str">
        <x:v>0.0015</x:v>
      </x:c>
      <x:c r="BA11" s="72" t="str">
        <x:v>0.05</x:v>
      </x:c>
      <x:c r="BB11" s="72" t="str">
        <x:v>0.27</x:v>
      </x:c>
      <x:c r="BC11" s="72" t="str">
        <x:v>0.7</x:v>
      </x:c>
      <x:c r="BD11" s="72" t="str">
        <x:v>0.05</x:v>
      </x:c>
      <x:c r="BE11" s="72" t="str">
        <x:v>0.15</x:v>
      </x:c>
      <x:c r="BF11" s="14" t="str">
        <x:v>1.0</x:v>
      </x:c>
      <x:c r="BG11" s="72" t="str">
        <x:v>0.35</x:v>
      </x:c>
      <x:c r="BH11" s="74" t="str">
        <x:v>1.0111228969621968</x:v>
      </x:c>
      <x:c r="BI11" s="47" t="str">
        <x:v>Common scenario elasticity + issuer SEC CapEx/CFO dependency scale</x:v>
      </x:c>
      <x:c r="BJ11" s="47" t="str">
        <x:v>Modeled estimate using observed inputs + disclosed assumptions</x:v>
      </x:c>
      <x:c r="BK11" s="14" t="str">
        <x:v>False</x:v>
      </x:c>
      <x:c r="BL11" s="14" t="str">
        <x:v>False</x:v>
      </x:c>
      <x:c r="BM11" s="14" t="str">
        <x:v>False</x:v>
      </x:c>
      <x:c r="BN11" s="47" t="str">
        <x:v>Conditional scenario sensitivity; not a forecast or probability</x:v>
      </x:c>
      <x:c r="BO11" s="66" t="str">
        <x:v>100.62833565146005</x:v>
      </x:c>
    </x:row>
    <x:row r="12">
      <x:c r="A12" s="14" t="str">
        <x:v>CVX</x:v>
      </x:c>
      <x:c r="B12" s="14" t="str">
        <x:v>Energy</x:v>
      </x:c>
      <x:c r="C12" s="14" t="str">
        <x:v>cp_vs_baseline</x:v>
      </x:c>
      <x:c r="D12" s="47" t="str">
        <x:v>Current Policies vs baseline</x:v>
      </x:c>
      <x:c r="E12" s="14" t="str">
        <x:v>CP vs baseline</x:v>
      </x:c>
      <x:c r="F12" s="14" t="str">
        <x:v>current_policies</x:v>
      </x:c>
      <x:c r="G12" s="14" t="str">
        <x:v>baseline</x:v>
      </x:c>
      <x:c r="H12" s="14" t="str">
        <x:v>2050</x:v>
      </x:c>
      <x:c r="I12" s="14" t="str">
        <x:v>base</x:v>
      </x:c>
      <x:c r="J12" s="14" t="str">
        <x:v>True</x:v>
      </x:c>
      <x:c r="K12" s="14" t="str">
        <x:v>CFP-2026-003-R17-20260804T234500Z</x:v>
      </x:c>
      <x:c r="L1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2" s="66" t="str">
        <x:v>-1.3254922218104204</x:v>
      </x:c>
      <x:c r="N12" s="68" t="str">
        <x:v>376652049847.3526</x:v>
      </x:c>
      <x:c r="O12" s="68" t="str">
        <x:v>371659556223.3364</x:v>
      </x:c>
      <x:c r="P12" s="68" t="str">
        <x:v>28339039686.316536</x:v>
      </x:c>
      <x:c r="Q12" s="68" t="str">
        <x:v>27762645856.760303</x:v>
      </x:c>
      <x:c r="R12" s="68" t="str">
        <x:v>-576393829.5562325</x:v>
      </x:c>
      <x:c r="S12" s="68" t="str">
        <x:v>18142230456.32</x:v>
      </x:c>
      <x:c r="T12" s="66" t="str">
        <x:v>0.07697635129337549</x:v>
      </x:c>
      <x:c r="U12" s="66" t="str">
        <x:v>0.7435977022849278</x:v>
      </x:c>
      <x:c r="V12" s="66" t="str">
        <x:v>1.2133474763546361</x:v>
      </x:c>
      <x:c r="W12" s="68" t="str">
        <x:v>21814358.74210811</x:v>
      </x:c>
      <x:c r="X12" s="68" t="str">
        <x:v>210728447.9570636</x:v>
      </x:c>
      <x:c r="Y12" s="68" t="str">
        <x:v>343851022.8570605</x:v>
      </x:c>
      <x:c r="Z12" s="66" t="str">
        <x:v>-0.04834688984290073</x:v>
      </x:c>
      <x:c r="AA12" s="66" t="str">
        <x:v>-0.5468044550707817</x:v>
      </x:c>
      <x:c r="AB12" s="66" t="str">
        <x:v>-0.73034087689674</x:v>
      </x:c>
      <x:c r="AC12" s="68" t="str">
        <x:v>20405615.508485276</x:v>
      </x:c>
      <x:c r="AD12" s="68" t="str">
        <x:v>755763.5373513065</x:v>
      </x:c>
      <x:c r="AE12" s="68" t="str">
        <x:v>652979.6962715288</x:v>
      </x:c>
      <x:c r="AF12" s="68" t="str">
        <x:v>157026890.6315403</x:v>
      </x:c>
      <x:c r="AG12" s="68" t="str">
        <x:v>53701557.32552329</x:v>
      </x:c>
      <x:c r="AH12" s="70" t="str">
        <x:v>54000000.0</x:v>
      </x:c>
      <x:c r="AI12" s="70" t="str">
        <x:v>4000000.0</x:v>
      </x:c>
      <x:c r="AJ12" s="70" t="str">
        <x:v>432000000.0</x:v>
      </x:c>
      <x:c r="AK12" s="68" t="str">
        <x:v>219729000000.0</x:v>
      </x:c>
      <x:c r="AL12" s="66" t="str">
        <x:v>0.31761728843062803</x:v>
      </x:c>
      <x:c r="AM12" s="70" t="str">
        <x:v>34.0</x:v>
      </x:c>
      <x:c r="AN12" s="70" t="str">
        <x:v>53.0</x:v>
      </x:c>
      <x:c r="AO12" s="66" t="str">
        <x:v>64.15094339622641</x:v>
      </x:c>
      <x:c r="AP12" s="14" t="str">
        <x:v>Medium</x:v>
      </x:c>
      <x:c r="AQ12" s="47" t="str">
        <x:v>Issuer facility-to-FEMA county match</x:v>
      </x:c>
      <x:c r="AR12" s="66" t="str">
        <x:v>0.31761728843062803</x:v>
      </x:c>
      <x:c r="AS12" s="66" t="str">
        <x:v>7.579869737287252</x:v>
      </x:c>
      <x:c r="AT12" s="66" t="str">
        <x:v>0.0</x:v>
      </x:c>
      <x:c r="AU12" s="66" t="str">
        <x:v>6.7034090248596065</x:v>
      </x:c>
      <x:c r="AV12" s="66" t="str">
        <x:v>1.7999999999999998</x:v>
      </x:c>
      <x:c r="AW12" s="72" t="str">
        <x:v>0.75</x:v>
      </x:c>
      <x:c r="AX12" s="72" t="str">
        <x:v>0.5</x:v>
      </x:c>
      <x:c r="AY12" s="72" t="str">
        <x:v>0.5</x:v>
      </x:c>
      <x:c r="AZ12" s="72" t="str">
        <x:v>0.003</x:v>
      </x:c>
      <x:c r="BA12" s="72" t="str">
        <x:v>0.03</x:v>
      </x:c>
      <x:c r="BB12" s="72" t="str">
        <x:v>0.45</x:v>
      </x:c>
      <x:c r="BC12" s="72" t="str">
        <x:v>0.5</x:v>
      </x:c>
      <x:c r="BD12" s="72" t="str">
        <x:v>0.1</x:v>
      </x:c>
      <x:c r="BE12" s="72" t="str">
        <x:v>0.25</x:v>
      </x:c>
      <x:c r="BF12" s="14" t="str">
        <x:v>1.0</x:v>
      </x:c>
      <x:c r="BG12" s="72" t="str">
        <x:v>0.6</x:v>
      </x:c>
      <x:c r="BH12" s="74" t="str">
        <x:v>1.0111228969621968</x:v>
      </x:c>
      <x:c r="BI12" s="47" t="str">
        <x:v>Common scenario elasticity + issuer SEC CapEx/CFO dependency scale</x:v>
      </x:c>
      <x:c r="BJ12" s="47" t="str">
        <x:v>Modeled estimate using observed inputs + disclosed assumptions</x:v>
      </x:c>
      <x:c r="BK12" s="14" t="str">
        <x:v>False</x:v>
      </x:c>
      <x:c r="BL12" s="14" t="str">
        <x:v>False</x:v>
      </x:c>
      <x:c r="BM12" s="14" t="str">
        <x:v>False</x:v>
      </x:c>
      <x:c r="BN12" s="47" t="str">
        <x:v>Conditional scenario sensitivity; not a forecast or probability</x:v>
      </x:c>
      <x:c r="BO12" s="66" t="str">
        <x:v>101.34329752603377</x:v>
      </x:c>
    </x:row>
    <x:row r="13">
      <x:c r="A13" s="14" t="str">
        <x:v>CVX</x:v>
      </x:c>
      <x:c r="B13" s="14" t="str">
        <x:v>Energy</x:v>
      </x:c>
      <x:c r="C13" s="14" t="str">
        <x:v>cp_vs_baseline</x:v>
      </x:c>
      <x:c r="D13" s="47" t="str">
        <x:v>Current Policies vs baseline</x:v>
      </x:c>
      <x:c r="E13" s="14" t="str">
        <x:v>CP vs baseline</x:v>
      </x:c>
      <x:c r="F13" s="14" t="str">
        <x:v>current_policies</x:v>
      </x:c>
      <x:c r="G13" s="14" t="str">
        <x:v>baseline</x:v>
      </x:c>
      <x:c r="H13" s="14" t="str">
        <x:v>2050</x:v>
      </x:c>
      <x:c r="I13" s="14" t="str">
        <x:v>high</x:v>
      </x:c>
      <x:c r="J13" s="14" t="str">
        <x:v>True</x:v>
      </x:c>
      <x:c r="K13" s="14" t="str">
        <x:v>CFP-2026-003-R17-20260804T234500Z</x:v>
      </x:c>
      <x:c r="L1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3" s="66" t="str">
        <x:v>-2.630297552837446</x:v>
      </x:c>
      <x:c r="N13" s="68" t="str">
        <x:v>376652049847.3526</x:v>
      </x:c>
      <x:c r="O13" s="68" t="str">
        <x:v>366744980197.5056</x:v>
      </x:c>
      <x:c r="P13" s="68" t="str">
        <x:v>28339039686.316536</x:v>
      </x:c>
      <x:c r="Q13" s="68" t="str">
        <x:v>27227312859.984547</x:v>
      </x:c>
      <x:c r="R13" s="68" t="str">
        <x:v>-1111726826.3319893</x:v>
      </x:c>
      <x:c r="S13" s="68" t="str">
        <x:v>18142230456.32</x:v>
      </x:c>
      <x:c r="T13" s="66" t="str">
        <x:v>0.24706546967224619</x:v>
      </x:c>
      <x:c r="U13" s="66" t="str">
        <x:v>1.653640391214671</x:v>
      </x:c>
      <x:c r="V13" s="66" t="str">
        <x:v>2.022245793924394</x:v>
      </x:c>
      <x:c r="W13" s="68" t="str">
        <x:v>70015981.50160219</x:v>
      </x:c>
      <x:c r="X13" s="68" t="str">
        <x:v>468625806.7352857</x:v>
      </x:c>
      <x:c r="Y13" s="68" t="str">
        <x:v>573085038.0951009</x:v>
      </x:c>
      <x:c r="Z13" s="66" t="str">
        <x:v>-0.14260893645691824</x:v>
      </x:c>
      <x:c r="AA13" s="66" t="str">
        <x:v>-1.2704538215526073</x:v>
      </x:c>
      <x:c r="AB13" s="66" t="str">
        <x:v>-1.217234794827918</x:v>
      </x:c>
      <x:c r="AC13" s="68" t="str">
        <x:v>63445814.892712414</x:v>
      </x:c>
      <x:c r="AD13" s="68" t="str">
        <x:v>3524767.494039579</x:v>
      </x:c>
      <x:c r="AE13" s="68" t="str">
        <x:v>3045399.114850196</x:v>
      </x:c>
      <x:c r="AF13" s="68" t="str">
        <x:v>296780823.29361117</x:v>
      </x:c>
      <x:c r="AG13" s="68" t="str">
        <x:v>171844983.44167453</x:v>
      </x:c>
      <x:c r="AH13" s="70" t="str">
        <x:v>54000000.0</x:v>
      </x:c>
      <x:c r="AI13" s="70" t="str">
        <x:v>4000000.0</x:v>
      </x:c>
      <x:c r="AJ13" s="70" t="str">
        <x:v>432000000.0</x:v>
      </x:c>
      <x:c r="AK13" s="68" t="str">
        <x:v>219729000000.0</x:v>
      </x:c>
      <x:c r="AL13" s="66" t="str">
        <x:v>0.31761728843062803</x:v>
      </x:c>
      <x:c r="AM13" s="70" t="str">
        <x:v>34.0</x:v>
      </x:c>
      <x:c r="AN13" s="70" t="str">
        <x:v>53.0</x:v>
      </x:c>
      <x:c r="AO13" s="66" t="str">
        <x:v>64.15094339622641</x:v>
      </x:c>
      <x:c r="AP13" s="14" t="str">
        <x:v>Medium</x:v>
      </x:c>
      <x:c r="AQ13" s="47" t="str">
        <x:v>Issuer facility-to-FEMA county match</x:v>
      </x:c>
      <x:c r="AR13" s="66" t="str">
        <x:v>0.31761728843062803</x:v>
      </x:c>
      <x:c r="AS13" s="66" t="str">
        <x:v>7.579869737287252</x:v>
      </x:c>
      <x:c r="AT13" s="66" t="str">
        <x:v>0.0</x:v>
      </x:c>
      <x:c r="AU13" s="66" t="str">
        <x:v>6.7034090248596065</x:v>
      </x:c>
      <x:c r="AV13" s="66" t="str">
        <x:v>1.7999999999999998</x:v>
      </x:c>
      <x:c r="AW13" s="72" t="str">
        <x:v>1.0</x:v>
      </x:c>
      <x:c r="AX13" s="72" t="str">
        <x:v>0.3</x:v>
      </x:c>
      <x:c r="AY13" s="72" t="str">
        <x:v>0.75</x:v>
      </x:c>
      <x:c r="AZ13" s="72" t="str">
        <x:v>0.006</x:v>
      </x:c>
      <x:c r="BA13" s="72" t="str">
        <x:v>0.01</x:v>
      </x:c>
      <x:c r="BB13" s="72" t="str">
        <x:v>0.6075</x:v>
      </x:c>
      <x:c r="BC13" s="72" t="str">
        <x:v>0.3</x:v>
      </x:c>
      <x:c r="BD13" s="72" t="str">
        <x:v>0.2</x:v>
      </x:c>
      <x:c r="BE13" s="72" t="str">
        <x:v>0.4</x:v>
      </x:c>
      <x:c r="BF13" s="14" t="str">
        <x:v>1.0</x:v>
      </x:c>
      <x:c r="BG13" s="72" t="str">
        <x:v>1.0</x:v>
      </x:c>
      <x:c r="BH13" s="74" t="str">
        <x:v>1.0111228969621968</x:v>
      </x:c>
      <x:c r="BI13" s="47" t="str">
        <x:v>Common scenario elasticity + issuer SEC CapEx/CFO dependency scale</x:v>
      </x:c>
      <x:c r="BJ13" s="47" t="str">
        <x:v>Modeled estimate using observed inputs + disclosed assumptions</x:v>
      </x:c>
      <x:c r="BK13" s="14" t="str">
        <x:v>False</x:v>
      </x:c>
      <x:c r="BL13" s="14" t="str">
        <x:v>False</x:v>
      </x:c>
      <x:c r="BM13" s="14" t="str">
        <x:v>False</x:v>
      </x:c>
      <x:c r="BN13" s="47" t="str">
        <x:v>Conditional scenario sensitivity; not a forecast or probability</x:v>
      </x:c>
      <x:c r="BO13" s="66" t="str">
        <x:v>102.7013511253819</x:v>
      </x:c>
    </x:row>
    <x:row r="14">
      <x:c r="A14" s="14" t="str">
        <x:v>DE</x:v>
      </x:c>
      <x:c r="B14" s="14" t="str">
        <x:v>Industrials</x:v>
      </x:c>
      <x:c r="C14" s="14" t="str">
        <x:v>cp_vs_baseline</x:v>
      </x:c>
      <x:c r="D14" s="47" t="str">
        <x:v>Current Policies vs baseline</x:v>
      </x:c>
      <x:c r="E14" s="14" t="str">
        <x:v>CP vs baseline</x:v>
      </x:c>
      <x:c r="F14" s="14" t="str">
        <x:v>current_policies</x:v>
      </x:c>
      <x:c r="G14" s="14" t="str">
        <x:v>baseline</x:v>
      </x:c>
      <x:c r="H14" s="14" t="str">
        <x:v>2050</x:v>
      </x:c>
      <x:c r="I14" s="14" t="str">
        <x:v>low</x:v>
      </x:c>
      <x:c r="J14" s="14" t="str">
        <x:v>True</x:v>
      </x:c>
      <x:c r="K14" s="14" t="str">
        <x:v>CFP-2026-003-R17-20260804T234500Z</x:v>
      </x:c>
      <x:c r="L1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4" s="66" t="str">
        <x:v>-0.3257429195263617</x:v>
      </x:c>
      <x:c r="N14" s="68" t="str">
        <x:v>156035291063.10095</x:v>
      </x:c>
      <x:c r="O14" s="68" t="str">
        <x:v>155527017150.50055</x:v>
      </x:c>
      <x:c r="P14" s="68" t="str">
        <x:v>14871029621.789665</x:v>
      </x:c>
      <x:c r="Q14" s="68" t="str">
        <x:v>14791068126.262678</x:v>
      </x:c>
      <x:c r="R14" s="68" t="str">
        <x:v>-79961495.52698708</x:v>
      </x:c>
      <x:c r="S14" s="68" t="str">
        <x:v>8631149592.456448</x:v>
      </x:c>
      <x:c r="T14" s="66" t="str">
        <x:v>0.0006422834841208754</x:v>
      </x:c>
      <x:c r="U14" s="66" t="str">
        <x:v>0.059426460003617836</x:v>
      </x:c>
      <x:c r="V14" s="66" t="str">
        <x:v>0.4776310497385709</x:v>
      </x:c>
      <x:c r="W14" s="68" t="str">
        <x:v>95514.1671794781</x:v>
      </x:c>
      <x:c r="X14" s="68" t="str">
        <x:v>8837326.470318995</x:v>
      </x:c>
      <x:c r="Y14" s="68" t="str">
        <x:v>71028654.8894878</x:v>
      </x:c>
      <x:c r="Z14" s="66" t="str">
        <x:v>-0.0004329961717639025</x:v>
      </x:c>
      <x:c r="AA14" s="66" t="str">
        <x:v>-0.055687857856526</x:v>
      </x:c>
      <x:c r="AB14" s="66" t="str">
        <x:v>-0.2696220654980728</x:v>
      </x:c>
      <x:c r="AC14" s="68" t="str">
        <x:v>31775.564083085443</x:v>
      </x:c>
      <x:c r="AD14" s="68" t="str">
        <x:v>5028.063262652684</x:v>
      </x:c>
      <x:c r="AE14" s="68" t="str">
        <x:v>58710.53983373997</x:v>
      </x:c>
      <x:c r="AF14" s="68" t="str">
        <x:v>383291.4158810637</x:v>
      </x:c>
      <x:c r="AG14" s="68" t="str">
        <x:v>8454035.054437932</x:v>
      </x:c>
      <x:c r="AH14" s="70" t="str">
        <x:v>353900.0</x:v>
      </x:c>
      <x:c r="AI14" s="70" t="str">
        <x:v>224000.0</x:v>
      </x:c>
      <x:c r="AJ14" s="70" t="str">
        <x:v>81736000.0</x:v>
      </x:c>
      <x:c r="AK14" s="68" t="str">
        <x:v>8079000000.0</x:v>
      </x:c>
      <x:c r="AL14" s="66" t="str">
        <x:v>0.1054287290454164</x:v>
      </x:c>
      <x:c r="AM14" s="70" t="str">
        <x:v>1.0</x:v>
      </x:c>
      <x:c r="AN14" s="70" t="str">
        <x:v>1.0</x:v>
      </x:c>
      <x:c r="AO14" s="66" t="str">
        <x:v>100.0</x:v>
      </x:c>
      <x:c r="AP14" s="14" t="str">
        <x:v>High</x:v>
      </x:c>
      <x:c r="AQ14" s="47" t="str">
        <x:v>Issuer facility-to-FEMA county match</x:v>
      </x:c>
      <x:c r="AR14" s="66" t="str">
        <x:v>0.1054287290454164</x:v>
      </x:c>
      <x:c r="AS14" s="66" t="str">
        <x:v>7.579869737287252</x:v>
      </x:c>
      <x:c r="AT14" s="66" t="str">
        <x:v>0.0</x:v>
      </x:c>
      <x:c r="AU14" s="66" t="str">
        <x:v>7.853230639934694</x:v>
      </x:c>
      <x:c r="AV14" s="66" t="str">
        <x:v>2.1999999999999997</x:v>
      </x:c>
      <x:c r="AW14" s="72" t="str">
        <x:v>0.5</x:v>
      </x:c>
      <x:c r="AX14" s="72" t="str">
        <x:v>0.7</x:v>
      </x:c>
      <x:c r="AY14" s="72" t="str">
        <x:v>0.25</x:v>
      </x:c>
      <x:c r="AZ14" s="72" t="str">
        <x:v>0.004</x:v>
      </x:c>
      <x:c r="BA14" s="72" t="str">
        <x:v>0.05</x:v>
      </x:c>
      <x:c r="BB14" s="72" t="str">
        <x:v>0.15</x:v>
      </x:c>
      <x:c r="BC14" s="72" t="str">
        <x:v>0.7</x:v>
      </x:c>
      <x:c r="BD14" s="72" t="str">
        <x:v>0.05</x:v>
      </x:c>
      <x:c r="BE14" s="72" t="str">
        <x:v>0.15</x:v>
      </x:c>
      <x:c r="BF14" s="14" t="str">
        <x:v>1.0</x:v>
      </x:c>
      <x:c r="BG14" s="72" t="str">
        <x:v>0.35</x:v>
      </x:c>
      <x:c r="BH14" s="74" t="str">
        <x:v>0.6823300710551012</x:v>
      </x:c>
      <x:c r="BI14" s="47" t="str">
        <x:v>Common scenario elasticity + issuer SEC CapEx/CFO dependency scale</x:v>
      </x:c>
      <x:c r="BJ14" s="47" t="str">
        <x:v>Modeled estimate using observed inputs + disclosed assumptions</x:v>
      </x:c>
      <x:c r="BK14" s="14" t="str">
        <x:v>False</x:v>
      </x:c>
      <x:c r="BL14" s="14" t="str">
        <x:v>False</x:v>
      </x:c>
      <x:c r="BM14" s="14" t="str">
        <x:v>False</x:v>
      </x:c>
      <x:c r="BN14" s="47" t="str">
        <x:v>Conditional scenario sensitivity; not a forecast or probability</x:v>
      </x:c>
      <x:c r="BO14" s="66" t="str">
        <x:v>100.326807471726</x:v>
      </x:c>
    </x:row>
    <x:row r="15">
      <x:c r="A15" s="14" t="str">
        <x:v>DE</x:v>
      </x:c>
      <x:c r="B15" s="14" t="str">
        <x:v>Industrials</x:v>
      </x:c>
      <x:c r="C15" s="14" t="str">
        <x:v>cp_vs_baseline</x:v>
      </x:c>
      <x:c r="D15" s="47" t="str">
        <x:v>Current Policies vs baseline</x:v>
      </x:c>
      <x:c r="E15" s="14" t="str">
        <x:v>CP vs baseline</x:v>
      </x:c>
      <x:c r="F15" s="14" t="str">
        <x:v>current_policies</x:v>
      </x:c>
      <x:c r="G15" s="14" t="str">
        <x:v>baseline</x:v>
      </x:c>
      <x:c r="H15" s="14" t="str">
        <x:v>2050</x:v>
      </x:c>
      <x:c r="I15" s="14" t="str">
        <x:v>base</x:v>
      </x:c>
      <x:c r="J15" s="14" t="str">
        <x:v>True</x:v>
      </x:c>
      <x:c r="K15" s="14" t="str">
        <x:v>CFP-2026-003-R17-20260804T234500Z</x:v>
      </x:c>
      <x:c r="L1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5" s="66" t="str">
        <x:v>-0.6489577894968179</x:v>
      </x:c>
      <x:c r="N15" s="68" t="str">
        <x:v>156035291063.10095</x:v>
      </x:c>
      <x:c r="O15" s="68" t="str">
        <x:v>155022687887.38293</x:v>
      </x:c>
      <x:c r="P15" s="68" t="str">
        <x:v>14871029621.789665</x:v>
      </x:c>
      <x:c r="Q15" s="68" t="str">
        <x:v>14719515886.594145</x:v>
      </x:c>
      <x:c r="R15" s="68" t="str">
        <x:v>-151513735.1955204</x:v>
      </x:c>
      <x:c r="S15" s="68" t="str">
        <x:v>8631149592.456448</x:v>
      </x:c>
      <x:c r="T15" s="66" t="str">
        <x:v>0.0033993045594256444</x:v>
      </x:c>
      <x:c r="U15" s="66" t="str">
        <x:v>0.19665629058207978</x:v>
      </x:c>
      <x:c r="V15" s="66" t="str">
        <x:v>0.8187960852661216</x:v>
      </x:c>
      <x:c r="W15" s="68" t="str">
        <x:v>505511.58796703425</x:v>
      </x:c>
      <x:c r="X15" s="68" t="str">
        <x:v>29244815.225573845</x:v>
      </x:c>
      <x:c r="Y15" s="68" t="str">
        <x:v>121763408.38197911</x:v>
      </x:c>
      <x:c r="Z15" s="66" t="str">
        <x:v>-0.002042932077293213</x:v>
      </x:c>
      <x:c r="AA15" s="66" t="str">
        <x:v>-0.18470560227996083</x:v>
      </x:c>
      <x:c r="AB15" s="66" t="str">
        <x:v>-0.4622092551395586</x:v>
      </x:c>
      <x:c r="AC15" s="68" t="str">
        <x:v>133732.35793431368</x:v>
      </x:c>
      <x:c r="AD15" s="68" t="str">
        <x:v>42322.75809167316</x:v>
      </x:c>
      <x:c r="AE15" s="68" t="str">
        <x:v>329456.4719410474</x:v>
      </x:c>
      <x:c r="AF15" s="68" t="str">
        <x:v>1064698.3774473988</x:v>
      </x:c>
      <x:c r="AG15" s="68" t="str">
        <x:v>28180116.848126445</x:v>
      </x:c>
      <x:c r="AH15" s="70" t="str">
        <x:v>353900.0</x:v>
      </x:c>
      <x:c r="AI15" s="70" t="str">
        <x:v>224000.0</x:v>
      </x:c>
      <x:c r="AJ15" s="70" t="str">
        <x:v>81736000.0</x:v>
      </x:c>
      <x:c r="AK15" s="68" t="str">
        <x:v>8079000000.0</x:v>
      </x:c>
      <x:c r="AL15" s="66" t="str">
        <x:v>0.1054287290454164</x:v>
      </x:c>
      <x:c r="AM15" s="70" t="str">
        <x:v>1.0</x:v>
      </x:c>
      <x:c r="AN15" s="70" t="str">
        <x:v>1.0</x:v>
      </x:c>
      <x:c r="AO15" s="66" t="str">
        <x:v>100.0</x:v>
      </x:c>
      <x:c r="AP15" s="14" t="str">
        <x:v>High</x:v>
      </x:c>
      <x:c r="AQ15" s="47" t="str">
        <x:v>Issuer facility-to-FEMA county match</x:v>
      </x:c>
      <x:c r="AR15" s="66" t="str">
        <x:v>0.1054287290454164</x:v>
      </x:c>
      <x:c r="AS15" s="66" t="str">
        <x:v>7.579869737287252</x:v>
      </x:c>
      <x:c r="AT15" s="66" t="str">
        <x:v>0.0</x:v>
      </x:c>
      <x:c r="AU15" s="66" t="str">
        <x:v>7.853230639934694</x:v>
      </x:c>
      <x:c r="AV15" s="66" t="str">
        <x:v>2.1999999999999997</x:v>
      </x:c>
      <x:c r="AW15" s="72" t="str">
        <x:v>0.75</x:v>
      </x:c>
      <x:c r="AX15" s="72" t="str">
        <x:v>0.5</x:v>
      </x:c>
      <x:c r="AY15" s="72" t="str">
        <x:v>0.5</x:v>
      </x:c>
      <x:c r="AZ15" s="72" t="str">
        <x:v>0.008</x:v>
      </x:c>
      <x:c r="BA15" s="72" t="str">
        <x:v>0.03</x:v>
      </x:c>
      <x:c r="BB15" s="72" t="str">
        <x:v>0.25</x:v>
      </x:c>
      <x:c r="BC15" s="72" t="str">
        <x:v>0.5</x:v>
      </x:c>
      <x:c r="BD15" s="72" t="str">
        <x:v>0.1</x:v>
      </x:c>
      <x:c r="BE15" s="72" t="str">
        <x:v>0.25</x:v>
      </x:c>
      <x:c r="BF15" s="14" t="str">
        <x:v>1.0</x:v>
      </x:c>
      <x:c r="BG15" s="72" t="str">
        <x:v>0.6</x:v>
      </x:c>
      <x:c r="BH15" s="74" t="str">
        <x:v>0.6823300710551012</x:v>
      </x:c>
      <x:c r="BI15" s="47" t="str">
        <x:v>Common scenario elasticity + issuer SEC CapEx/CFO dependency scale</x:v>
      </x:c>
      <x:c r="BJ15" s="47" t="str">
        <x:v>Modeled estimate using observed inputs + disclosed assumptions</x:v>
      </x:c>
      <x:c r="BK15" s="14" t="str">
        <x:v>False</x:v>
      </x:c>
      <x:c r="BL15" s="14" t="str">
        <x:v>False</x:v>
      </x:c>
      <x:c r="BM15" s="14" t="str">
        <x:v>False</x:v>
      </x:c>
      <x:c r="BN15" s="47" t="str">
        <x:v>Conditional scenario sensitivity; not a forecast or probability</x:v>
      </x:c>
      <x:c r="BO15" s="66" t="str">
        <x:v>100.65319676075649</x:v>
      </x:c>
    </x:row>
    <x:row r="16">
      <x:c r="A16" s="14" t="str">
        <x:v>DE</x:v>
      </x:c>
      <x:c r="B16" s="14" t="str">
        <x:v>Industrials</x:v>
      </x:c>
      <x:c r="C16" s="14" t="str">
        <x:v>cp_vs_baseline</x:v>
      </x:c>
      <x:c r="D16" s="47" t="str">
        <x:v>Current Policies vs baseline</x:v>
      </x:c>
      <x:c r="E16" s="14" t="str">
        <x:v>CP vs baseline</x:v>
      </x:c>
      <x:c r="F16" s="14" t="str">
        <x:v>current_policies</x:v>
      </x:c>
      <x:c r="G16" s="14" t="str">
        <x:v>baseline</x:v>
      </x:c>
      <x:c r="H16" s="14" t="str">
        <x:v>2050</x:v>
      </x:c>
      <x:c r="I16" s="14" t="str">
        <x:v>high</x:v>
      </x:c>
      <x:c r="J16" s="14" t="str">
        <x:v>True</x:v>
      </x:c>
      <x:c r="K16" s="14" t="str">
        <x:v>CFP-2026-003-R17-20260804T234500Z</x:v>
      </x:c>
      <x:c r="L1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6" s="66" t="str">
        <x:v>-1.3632564139545944</x:v>
      </x:c>
      <x:c r="N16" s="68" t="str">
        <x:v>156035291063.10095</x:v>
      </x:c>
      <x:c r="O16" s="68" t="str">
        <x:v>153908129949.6505</x:v>
      </x:c>
      <x:c r="P16" s="68" t="str">
        <x:v>14871029621.789665</x:v>
      </x:c>
      <x:c r="Q16" s="68" t="str">
        <x:v>14573752226.475845</x:v>
      </x:c>
      <x:c r="R16" s="68" t="str">
        <x:v>-297277395.3138199</x:v>
      </x:c>
      <x:c r="S16" s="68" t="str">
        <x:v>8631149592.456448</x:v>
      </x:c>
      <x:c r="T16" s="66" t="str">
        <x:v>0.014455808045227178</x:v>
      </x:c>
      <x:c r="U16" s="66" t="str">
        <x:v>0.6199211230962884</x:v>
      </x:c>
      <x:c r="V16" s="66" t="str">
        <x:v>1.3646601421102027</x:v>
      </x:c>
      <x:c r="W16" s="68" t="str">
        <x:v>2149727.496474787</x:v>
      </x:c>
      <x:c r="X16" s="68" t="str">
        <x:v>92188653.84738022</x:v>
      </x:c>
      <x:c r="Y16" s="68" t="str">
        <x:v>202939013.9699652</x:v>
      </x:c>
      <x:c r="Z16" s="66" t="str">
        <x:v>-0.007879596359742872</x:v>
      </x:c>
      <x:c r="AA16" s="66" t="str">
        <x:v>-0.5850280590288862</x:v>
      </x:c>
      <x:c r="AB16" s="66" t="str">
        <x:v>-0.7703487585659624</x:v>
      </x:c>
      <x:c r="AC16" s="68" t="str">
        <x:v>415805.0720468691</x:v>
      </x:c>
      <x:c r="AD16" s="68" t="str">
        <x:v>197386.97966621644</x:v>
      </x:c>
      <x:c r="AE16" s="68" t="str">
        <x:v>1536535.4447617016</x:v>
      </x:c>
      <x:c r="AF16" s="68" t="str">
        <x:v>2012279.9333755837</x:v>
      </x:c>
      <x:c r="AG16" s="68" t="str">
        <x:v>90176373.91400464</x:v>
      </x:c>
      <x:c r="AH16" s="70" t="str">
        <x:v>353900.0</x:v>
      </x:c>
      <x:c r="AI16" s="70" t="str">
        <x:v>224000.0</x:v>
      </x:c>
      <x:c r="AJ16" s="70" t="str">
        <x:v>81736000.0</x:v>
      </x:c>
      <x:c r="AK16" s="68" t="str">
        <x:v>8079000000.0</x:v>
      </x:c>
      <x:c r="AL16" s="66" t="str">
        <x:v>0.1054287290454164</x:v>
      </x:c>
      <x:c r="AM16" s="70" t="str">
        <x:v>1.0</x:v>
      </x:c>
      <x:c r="AN16" s="70" t="str">
        <x:v>1.0</x:v>
      </x:c>
      <x:c r="AO16" s="66" t="str">
        <x:v>100.0</x:v>
      </x:c>
      <x:c r="AP16" s="14" t="str">
        <x:v>High</x:v>
      </x:c>
      <x:c r="AQ16" s="47" t="str">
        <x:v>Issuer facility-to-FEMA county match</x:v>
      </x:c>
      <x:c r="AR16" s="66" t="str">
        <x:v>0.1054287290454164</x:v>
      </x:c>
      <x:c r="AS16" s="66" t="str">
        <x:v>7.579869737287252</x:v>
      </x:c>
      <x:c r="AT16" s="66" t="str">
        <x:v>0.0</x:v>
      </x:c>
      <x:c r="AU16" s="66" t="str">
        <x:v>7.853230639934694</x:v>
      </x:c>
      <x:c r="AV16" s="66" t="str">
        <x:v>2.1999999999999997</x:v>
      </x:c>
      <x:c r="AW16" s="72" t="str">
        <x:v>1.0</x:v>
      </x:c>
      <x:c r="AX16" s="72" t="str">
        <x:v>0.3</x:v>
      </x:c>
      <x:c r="AY16" s="72" t="str">
        <x:v>0.75</x:v>
      </x:c>
      <x:c r="AZ16" s="72" t="str">
        <x:v>0.016</x:v>
      </x:c>
      <x:c r="BA16" s="72" t="str">
        <x:v>0.01</x:v>
      </x:c>
      <x:c r="BB16" s="72" t="str">
        <x:v>0.3375</x:v>
      </x:c>
      <x:c r="BC16" s="72" t="str">
        <x:v>0.3</x:v>
      </x:c>
      <x:c r="BD16" s="72" t="str">
        <x:v>0.2</x:v>
      </x:c>
      <x:c r="BE16" s="72" t="str">
        <x:v>0.4</x:v>
      </x:c>
      <x:c r="BF16" s="14" t="str">
        <x:v>1.0</x:v>
      </x:c>
      <x:c r="BG16" s="72" t="str">
        <x:v>1.0</x:v>
      </x:c>
      <x:c r="BH16" s="74" t="str">
        <x:v>0.6823300710551012</x:v>
      </x:c>
      <x:c r="BI16" s="47" t="str">
        <x:v>Common scenario elasticity + issuer SEC CapEx/CFO dependency scale</x:v>
      </x:c>
      <x:c r="BJ16" s="47" t="str">
        <x:v>Modeled estimate using observed inputs + disclosed assumptions</x:v>
      </x:c>
      <x:c r="BK16" s="14" t="str">
        <x:v>False</x:v>
      </x:c>
      <x:c r="BL16" s="14" t="str">
        <x:v>False</x:v>
      </x:c>
      <x:c r="BM16" s="14" t="str">
        <x:v>False</x:v>
      </x:c>
      <x:c r="BN16" s="47" t="str">
        <x:v>Conditional scenario sensitivity; not a forecast or probability</x:v>
      </x:c>
      <x:c r="BO16" s="66" t="str">
        <x:v>101.38209795294526</x:v>
      </x:c>
    </x:row>
    <x:row r="17">
      <x:c r="A17" s="14" t="str">
        <x:v>DUK</x:v>
      </x:c>
      <x:c r="B17" s="14" t="str">
        <x:v>Utilities</x:v>
      </x:c>
      <x:c r="C17" s="14" t="str">
        <x:v>cp_vs_baseline</x:v>
      </x:c>
      <x:c r="D17" s="47" t="str">
        <x:v>Current Policies vs baseline</x:v>
      </x:c>
      <x:c r="E17" s="14" t="str">
        <x:v>CP vs baseline</x:v>
      </x:c>
      <x:c r="F17" s="14" t="str">
        <x:v>current_policies</x:v>
      </x:c>
      <x:c r="G17" s="14" t="str">
        <x:v>baseline</x:v>
      </x:c>
      <x:c r="H17" s="14" t="str">
        <x:v>2050</x:v>
      </x:c>
      <x:c r="I17" s="14" t="str">
        <x:v>low</x:v>
      </x:c>
      <x:c r="J17" s="14" t="str">
        <x:v>True</x:v>
      </x:c>
      <x:c r="K17" s="14" t="str">
        <x:v>CFP-2026-003-R17-20260804T234500Z</x:v>
      </x:c>
      <x:c r="L1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7" s="66" t="str">
        <x:v>-1.912335646540475</x:v>
      </x:c>
      <x:c r="N17" s="68" t="str">
        <x:v>50132194683.06894</x:v>
      </x:c>
      <x:c r="O17" s="68" t="str">
        <x:v>49173498853.75154</x:v>
      </x:c>
      <x:c r="P17" s="68" t="str">
        <x:v>2512681140.1064544</x:v>
      </x:c>
      <x:c r="Q17" s="68" t="str">
        <x:v>2448564471.432889</x:v>
      </x:c>
      <x:c r="R17" s="68" t="str">
        <x:v>-64116668.67356539</x:v>
      </x:c>
      <x:c r="S17" s="68" t="str">
        <x:v>1531556722.6890755</x:v>
      </x:c>
      <x:c r="T17" s="66" t="str">
        <x:v>0.28571611890618254</x:v>
      </x:c>
      <x:c r="U17" s="66" t="str">
        <x:v>1.1198351856919668</x:v>
      </x:c>
      <x:c r="V17" s="66" t="str">
        <x:v>1.1461719383617195</x:v>
      </x:c>
      <x:c r="W17" s="68" t="str">
        <x:v>7179135.033999779</x:v>
      </x:c>
      <x:c r="X17" s="68" t="str">
        <x:v>28137887.511158146</x:v>
      </x:c>
      <x:c r="Y17" s="68" t="str">
        <x:v>28799646.128407497</x:v>
      </x:c>
      <x:c r="Z17" s="66" t="str">
        <x:v>-0.2278215375430006</x:v>
      </x:c>
      <x:c r="AA17" s="66" t="str">
        <x:v>-0.8668087588575395</x:v>
      </x:c>
      <x:c r="AB17" s="66" t="str">
        <x:v>-0.817705350139939</x:v>
      </x:c>
      <x:c r="AC17" s="68" t="str">
        <x:v>7161039.5281451335</x:v>
      </x:c>
      <x:c r="AD17" s="68" t="str">
        <x:v>5701.46459247224</x:v>
      </x:c>
      <x:c r="AE17" s="68" t="str">
        <x:v>12394.0412621729</x:v>
      </x:c>
      <x:c r="AF17" s="68" t="str">
        <x:v>26709452.831157245</x:v>
      </x:c>
      <x:c r="AG17" s="68" t="str">
        <x:v>1428434.6800009008</x:v>
      </x:c>
      <x:c r="AH17" s="70" t="str">
        <x:v>79756000.0</x:v>
      </x:c>
      <x:c r="AI17" s="70" t="str">
        <x:v>254000.0</x:v>
      </x:c>
      <x:c r="AJ17" s="70" t="str">
        <x:v>27607700.0</x:v>
      </x:c>
      <x:c r="AK17" s="68" t="str">
        <x:v>129959000000.0</x:v>
      </x:c>
      <x:c r="AL17" s="66" t="str">
        <x:v>0.17565995555046018</x:v>
      </x:c>
      <x:c r="AM17" s="70" t="str">
        <x:v>48.0</x:v>
      </x:c>
      <x:c r="AN17" s="70" t="str">
        <x:v>49.0</x:v>
      </x:c>
      <x:c r="AO17" s="66" t="str">
        <x:v>97.95918367346938</x:v>
      </x:c>
      <x:c r="AP17" s="14" t="str">
        <x:v>High</x:v>
      </x:c>
      <x:c r="AQ17" s="47" t="str">
        <x:v>Issuer facility-to-FEMA county match</x:v>
      </x:c>
      <x:c r="AR17" s="66" t="str">
        <x:v>0.17565995555046018</x:v>
      </x:c>
      <x:c r="AS17" s="66" t="str">
        <x:v>7.579869737287252</x:v>
      </x:c>
      <x:c r="AT17" s="66" t="str">
        <x:v>0.0</x:v>
      </x:c>
      <x:c r="AU17" s="66" t="str">
        <x:v>5.116136979477691</x:v>
      </x:c>
      <x:c r="AV17" s="66" t="str">
        <x:v>2.0</x:v>
      </x:c>
      <x:c r="AW17" s="72" t="str">
        <x:v>0.5</x:v>
      </x:c>
      <x:c r="AX17" s="72" t="str">
        <x:v>0.7</x:v>
      </x:c>
      <x:c r="AY17" s="72" t="str">
        <x:v>0.25</x:v>
      </x:c>
      <x:c r="AZ17" s="72" t="str">
        <x:v>0.0025</x:v>
      </x:c>
      <x:c r="BA17" s="72" t="str">
        <x:v>0.05</x:v>
      </x:c>
      <x:c r="BB17" s="72" t="str">
        <x:v>0.39</x:v>
      </x:c>
      <x:c r="BC17" s="72" t="str">
        <x:v>0.7</x:v>
      </x:c>
      <x:c r="BD17" s="72" t="str">
        <x:v>0.05</x:v>
      </x:c>
      <x:c r="BE17" s="72" t="str">
        <x:v>0.15</x:v>
      </x:c>
      <x:c r="BF17" s="14" t="str">
        <x:v>1.0</x:v>
      </x:c>
      <x:c r="BG17" s="72" t="str">
        <x:v>0.35</x:v>
      </x:c>
      <x:c r="BH17" s="74" t="str">
        <x:v>1.6373884833738848</x:v>
      </x:c>
      <x:c r="BI17" s="47" t="str">
        <x:v>Common scenario elasticity + issuer SEC CapEx/CFO dependency scale</x:v>
      </x:c>
      <x:c r="BJ17" s="47" t="str">
        <x:v>Modeled estimate using observed inputs + disclosed assumptions</x:v>
      </x:c>
      <x:c r="BK17" s="14" t="str">
        <x:v>False</x:v>
      </x:c>
      <x:c r="BL17" s="14" t="str">
        <x:v>False</x:v>
      </x:c>
      <x:c r="BM17" s="14" t="str">
        <x:v>False</x:v>
      </x:c>
      <x:c r="BN17" s="47" t="str">
        <x:v>Conditional scenario sensitivity; not a forecast or probability</x:v>
      </x:c>
      <x:c r="BO17" s="66" t="str">
        <x:v>101.94961890380971</x:v>
      </x:c>
    </x:row>
    <x:row r="18">
      <x:c r="A18" s="14" t="str">
        <x:v>DUK</x:v>
      </x:c>
      <x:c r="B18" s="14" t="str">
        <x:v>Utilities</x:v>
      </x:c>
      <x:c r="C18" s="14" t="str">
        <x:v>cp_vs_baseline</x:v>
      </x:c>
      <x:c r="D18" s="47" t="str">
        <x:v>Current Policies vs baseline</x:v>
      </x:c>
      <x:c r="E18" s="14" t="str">
        <x:v>CP vs baseline</x:v>
      </x:c>
      <x:c r="F18" s="14" t="str">
        <x:v>current_policies</x:v>
      </x:c>
      <x:c r="G18" s="14" t="str">
        <x:v>baseline</x:v>
      </x:c>
      <x:c r="H18" s="14" t="str">
        <x:v>2050</x:v>
      </x:c>
      <x:c r="I18" s="14" t="str">
        <x:v>base</x:v>
      </x:c>
      <x:c r="J18" s="14" t="str">
        <x:v>True</x:v>
      </x:c>
      <x:c r="K18" s="14" t="str">
        <x:v>CFP-2026-003-R17-20260804T234500Z</x:v>
      </x:c>
      <x:c r="L1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8" s="66" t="str">
        <x:v>-4.735551081659628</x:v>
      </x:c>
      <x:c r="N18" s="68" t="str">
        <x:v>50132194683.06894</x:v>
      </x:c>
      <x:c r="O18" s="68" t="str">
        <x:v>47758158995.495155</x:v>
      </x:c>
      <x:c r="P18" s="68" t="str">
        <x:v>2512681140.1064544</x:v>
      </x:c>
      <x:c r="Q18" s="68" t="str">
        <x:v>2354100065.7372284</x:v>
      </x:c>
      <x:c r="R18" s="68" t="str">
        <x:v>-158581074.36922598</x:v>
      </x:c>
      <x:c r="S18" s="68" t="str">
        <x:v>1531556722.6890755</x:v>
      </x:c>
      <x:c r="T18" s="66" t="str">
        <x:v>1.2041272761414716</x:v>
      </x:c>
      <x:c r="U18" s="66" t="str">
        <x:v>3.1422360841608263</x:v>
      </x:c>
      <x:c r="V18" s="66" t="str">
        <x:v>1.9648661800486615</x:v>
      </x:c>
      <x:c r="W18" s="68" t="str">
        <x:v>30255878.970484324</x:v>
      </x:c>
      <x:c r="X18" s="68" t="str">
        <x:v>78954373.46432866</x:v>
      </x:c>
      <x:c r="Y18" s="68" t="str">
        <x:v>49370821.93441285</x:v>
      </x:c>
      <x:c r="Z18" s="66" t="str">
        <x:v>-0.8954154088493383</x:v>
      </x:c>
      <x:c r="AA18" s="66" t="str">
        <x:v>-2.4383550725703875</x:v>
      </x:c>
      <x:c r="AB18" s="66" t="str">
        <x:v>-1.4017806002399058</x:v>
      </x:c>
      <x:c r="AC18" s="68" t="str">
        <x:v>30138338.342495404</x:v>
      </x:c>
      <x:c r="AD18" s="68" t="str">
        <x:v>47990.98462180796</x:v>
      </x:c>
      <x:c r="AE18" s="68" t="str">
        <x:v>69549.64336711222</x:v>
      </x:c>
      <x:c r="AF18" s="68" t="str">
        <x:v>74192924.53099233</x:v>
      </x:c>
      <x:c r="AG18" s="68" t="str">
        <x:v>4761448.933336336</x:v>
      </x:c>
      <x:c r="AH18" s="70" t="str">
        <x:v>79756000.0</x:v>
      </x:c>
      <x:c r="AI18" s="70" t="str">
        <x:v>254000.0</x:v>
      </x:c>
      <x:c r="AJ18" s="70" t="str">
        <x:v>27607700.0</x:v>
      </x:c>
      <x:c r="AK18" s="68" t="str">
        <x:v>129959000000.0</x:v>
      </x:c>
      <x:c r="AL18" s="66" t="str">
        <x:v>0.17565995555046018</x:v>
      </x:c>
      <x:c r="AM18" s="70" t="str">
        <x:v>48.0</x:v>
      </x:c>
      <x:c r="AN18" s="70" t="str">
        <x:v>49.0</x:v>
      </x:c>
      <x:c r="AO18" s="66" t="str">
        <x:v>97.95918367346938</x:v>
      </x:c>
      <x:c r="AP18" s="14" t="str">
        <x:v>High</x:v>
      </x:c>
      <x:c r="AQ18" s="47" t="str">
        <x:v>Issuer facility-to-FEMA county match</x:v>
      </x:c>
      <x:c r="AR18" s="66" t="str">
        <x:v>0.17565995555046018</x:v>
      </x:c>
      <x:c r="AS18" s="66" t="str">
        <x:v>7.579869737287252</x:v>
      </x:c>
      <x:c r="AT18" s="66" t="str">
        <x:v>0.0</x:v>
      </x:c>
      <x:c r="AU18" s="66" t="str">
        <x:v>5.116136979477691</x:v>
      </x:c>
      <x:c r="AV18" s="66" t="str">
        <x:v>2.0</x:v>
      </x:c>
      <x:c r="AW18" s="72" t="str">
        <x:v>0.75</x:v>
      </x:c>
      <x:c r="AX18" s="72" t="str">
        <x:v>0.5</x:v>
      </x:c>
      <x:c r="AY18" s="72" t="str">
        <x:v>0.5</x:v>
      </x:c>
      <x:c r="AZ18" s="72" t="str">
        <x:v>0.005</x:v>
      </x:c>
      <x:c r="BA18" s="72" t="str">
        <x:v>0.03</x:v>
      </x:c>
      <x:c r="BB18" s="72" t="str">
        <x:v>0.65</x:v>
      </x:c>
      <x:c r="BC18" s="72" t="str">
        <x:v>0.5</x:v>
      </x:c>
      <x:c r="BD18" s="72" t="str">
        <x:v>0.1</x:v>
      </x:c>
      <x:c r="BE18" s="72" t="str">
        <x:v>0.25</x:v>
      </x:c>
      <x:c r="BF18" s="14" t="str">
        <x:v>1.0</x:v>
      </x:c>
      <x:c r="BG18" s="72" t="str">
        <x:v>0.6</x:v>
      </x:c>
      <x:c r="BH18" s="74" t="str">
        <x:v>1.6373884833738848</x:v>
      </x:c>
      <x:c r="BI18" s="47" t="str">
        <x:v>Common scenario elasticity + issuer SEC CapEx/CFO dependency scale</x:v>
      </x:c>
      <x:c r="BJ18" s="47" t="str">
        <x:v>Modeled estimate using observed inputs + disclosed assumptions</x:v>
      </x:c>
      <x:c r="BK18" s="14" t="str">
        <x:v>False</x:v>
      </x:c>
      <x:c r="BL18" s="14" t="str">
        <x:v>False</x:v>
      </x:c>
      <x:c r="BM18" s="14" t="str">
        <x:v>False</x:v>
      </x:c>
      <x:c r="BN18" s="47" t="str">
        <x:v>Conditional scenario sensitivity; not a forecast or probability</x:v>
      </x:c>
      <x:c r="BO18" s="66" t="str">
        <x:v>104.97095310520181</x:v>
      </x:c>
    </x:row>
    <x:row r="19">
      <x:c r="A19" s="14" t="str">
        <x:v>DUK</x:v>
      </x:c>
      <x:c r="B19" s="14" t="str">
        <x:v>Utilities</x:v>
      </x:c>
      <x:c r="C19" s="14" t="str">
        <x:v>cp_vs_baseline</x:v>
      </x:c>
      <x:c r="D19" s="47" t="str">
        <x:v>Current Policies vs baseline</x:v>
      </x:c>
      <x:c r="E19" s="14" t="str">
        <x:v>CP vs baseline</x:v>
      </x:c>
      <x:c r="F19" s="14" t="str">
        <x:v>current_policies</x:v>
      </x:c>
      <x:c r="G19" s="14" t="str">
        <x:v>baseline</x:v>
      </x:c>
      <x:c r="H19" s="14" t="str">
        <x:v>2050</x:v>
      </x:c>
      <x:c r="I19" s="14" t="str">
        <x:v>high</x:v>
      </x:c>
      <x:c r="J19" s="14" t="str">
        <x:v>True</x:v>
      </x:c>
      <x:c r="K19" s="14" t="str">
        <x:v>CFP-2026-003-R17-20260804T234500Z</x:v>
      </x:c>
      <x:c r="L1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9" s="66" t="str">
        <x:v>-9.818840169030363</x:v>
      </x:c>
      <x:c r="N19" s="68" t="str">
        <x:v>50132194683.06894</x:v>
      </x:c>
      <x:c r="O19" s="68" t="str">
        <x:v>45209794613.91126</x:v>
      </x:c>
      <x:c r="P19" s="68" t="str">
        <x:v>2512681140.1064544</x:v>
      </x:c>
      <x:c r="Q19" s="68" t="str">
        <x:v>2180679862.3662853</x:v>
      </x:c>
      <x:c r="R19" s="68" t="str">
        <x:v>-332001277.74016905</x:v>
      </x:c>
      <x:c r="S19" s="68" t="str">
        <x:v>1531556722.6890755</x:v>
      </x:c>
      <x:c r="T19" s="66" t="str">
        <x:v>3.7511847031216385</x:v>
      </x:c>
      <x:c r="U19" s="66" t="str">
        <x:v>6.187066932960119</x:v>
      </x:c>
      <x:c r="V19" s="66" t="str">
        <x:v>3.2747769667477695</x:v>
      </x:c>
      <x:c r="W19" s="68" t="str">
        <x:v>94255310.5658957</x:v>
      </x:c>
      <x:c r="X19" s="68" t="str">
        <x:v>155461263.95025176</x:v>
      </x:c>
      <x:c r="Y19" s="68" t="str">
        <x:v>82284703.22402142</x:v>
      </x:c>
      <x:c r="Z19" s="66" t="str">
        <x:v>-2.6339017794590855</x:v>
      </x:c>
      <x:c r="AA19" s="66" t="str">
        <x:v>-4.848637389171426</x:v>
      </x:c>
      <x:c r="AB19" s="66" t="str">
        <x:v>-2.33630100039985</x:v>
      </x:c>
      <x:c r="AC19" s="68" t="str">
        <x:v>93707118.75154021</x:v>
      </x:c>
      <x:c r="AD19" s="68" t="str">
        <x:v>223822.7358715133</x:v>
      </x:c>
      <x:c r="AE19" s="68" t="str">
        <x:v>324369.0784839883</x:v>
      </x:c>
      <x:c r="AF19" s="68" t="str">
        <x:v>140224627.3635755</x:v>
      </x:c>
      <x:c r="AG19" s="68" t="str">
        <x:v>15236636.586676275</x:v>
      </x:c>
      <x:c r="AH19" s="70" t="str">
        <x:v>79756000.0</x:v>
      </x:c>
      <x:c r="AI19" s="70" t="str">
        <x:v>254000.0</x:v>
      </x:c>
      <x:c r="AJ19" s="70" t="str">
        <x:v>27607700.0</x:v>
      </x:c>
      <x:c r="AK19" s="68" t="str">
        <x:v>129959000000.0</x:v>
      </x:c>
      <x:c r="AL19" s="66" t="str">
        <x:v>0.17565995555046018</x:v>
      </x:c>
      <x:c r="AM19" s="70" t="str">
        <x:v>48.0</x:v>
      </x:c>
      <x:c r="AN19" s="70" t="str">
        <x:v>49.0</x:v>
      </x:c>
      <x:c r="AO19" s="66" t="str">
        <x:v>97.95918367346938</x:v>
      </x:c>
      <x:c r="AP19" s="14" t="str">
        <x:v>High</x:v>
      </x:c>
      <x:c r="AQ19" s="47" t="str">
        <x:v>Issuer facility-to-FEMA county match</x:v>
      </x:c>
      <x:c r="AR19" s="66" t="str">
        <x:v>0.17565995555046018</x:v>
      </x:c>
      <x:c r="AS19" s="66" t="str">
        <x:v>7.579869737287252</x:v>
      </x:c>
      <x:c r="AT19" s="66" t="str">
        <x:v>0.0</x:v>
      </x:c>
      <x:c r="AU19" s="66" t="str">
        <x:v>5.116136979477691</x:v>
      </x:c>
      <x:c r="AV19" s="66" t="str">
        <x:v>2.0</x:v>
      </x:c>
      <x:c r="AW19" s="72" t="str">
        <x:v>1.0</x:v>
      </x:c>
      <x:c r="AX19" s="72" t="str">
        <x:v>0.3</x:v>
      </x:c>
      <x:c r="AY19" s="72" t="str">
        <x:v>0.75</x:v>
      </x:c>
      <x:c r="AZ19" s="72" t="str">
        <x:v>0.01</x:v>
      </x:c>
      <x:c r="BA19" s="72" t="str">
        <x:v>0.01</x:v>
      </x:c>
      <x:c r="BB19" s="72" t="str">
        <x:v>0.8775000000000001</x:v>
      </x:c>
      <x:c r="BC19" s="72" t="str">
        <x:v>0.3</x:v>
      </x:c>
      <x:c r="BD19" s="72" t="str">
        <x:v>0.2</x:v>
      </x:c>
      <x:c r="BE19" s="72" t="str">
        <x:v>0.4</x:v>
      </x:c>
      <x:c r="BF19" s="14" t="str">
        <x:v>1.0</x:v>
      </x:c>
      <x:c r="BG19" s="72" t="str">
        <x:v>1.0</x:v>
      </x:c>
      <x:c r="BH19" s="74" t="str">
        <x:v>1.6373884833738848</x:v>
      </x:c>
      <x:c r="BI19" s="47" t="str">
        <x:v>Common scenario elasticity + issuer SEC CapEx/CFO dependency scale</x:v>
      </x:c>
      <x:c r="BJ19" s="47" t="str">
        <x:v>Modeled estimate using observed inputs + disclosed assumptions</x:v>
      </x:c>
      <x:c r="BK19" s="14" t="str">
        <x:v>False</x:v>
      </x:c>
      <x:c r="BL19" s="14" t="str">
        <x:v>False</x:v>
      </x:c>
      <x:c r="BM19" s="14" t="str">
        <x:v>False</x:v>
      </x:c>
      <x:c r="BN19" s="47" t="str">
        <x:v>Conditional scenario sensitivity; not a forecast or probability</x:v>
      </x:c>
      <x:c r="BO19" s="66" t="str">
        <x:v>110.88790628489835</x:v>
      </x:c>
    </x:row>
    <x:row r="20">
      <x:c r="A20" s="14" t="str">
        <x:v>MSFT</x:v>
      </x:c>
      <x:c r="B20" s="14" t="str">
        <x:v>Technology</x:v>
      </x:c>
      <x:c r="C20" s="14" t="str">
        <x:v>cp_vs_baseline</x:v>
      </x:c>
      <x:c r="D20" s="47" t="str">
        <x:v>Current Policies vs baseline</x:v>
      </x:c>
      <x:c r="E20" s="14" t="str">
        <x:v>CP vs baseline</x:v>
      </x:c>
      <x:c r="F20" s="14" t="str">
        <x:v>current_policies</x:v>
      </x:c>
      <x:c r="G20" s="14" t="str">
        <x:v>baseline</x:v>
      </x:c>
      <x:c r="H20" s="14" t="str">
        <x:v>2050</x:v>
      </x:c>
      <x:c r="I20" s="14" t="str">
        <x:v>low</x:v>
      </x:c>
      <x:c r="J20" s="14" t="str">
        <x:v>True</x:v>
      </x:c>
      <x:c r="K20" s="14" t="str">
        <x:v>CFP-2026-003-R17-20260804T234500Z</x:v>
      </x:c>
      <x:c r="L2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0" s="66" t="str">
        <x:v>-0.398757640423153</x:v>
      </x:c>
      <x:c r="N20" s="68" t="str">
        <x:v>1056700433995.6056</x:v>
      </x:c>
      <x:c r="O20" s="68" t="str">
        <x:v>1052486760278.6635</x:v>
      </x:c>
      <x:c r="P20" s="68" t="str">
        <x:v>136222325961.35968</x:v>
      </x:c>
      <x:c r="Q20" s="68" t="str">
        <x:v>135207501071.45192</x:v>
      </x:c>
      <x:c r="R20" s="68" t="str">
        <x:v>-1014824889.9077606</x:v>
      </x:c>
      <x:c r="S20" s="68" t="str">
        <x:v>73477040696.4498</x:v>
      </x:c>
      <x:c r="T20" s="66" t="str">
        <x:v>3.368646392027568e-05</x:v>
      </x:c>
      <x:c r="U20" s="66" t="str">
        <x:v>0.06309073548798379</x:v>
      </x:c>
      <x:c r="V20" s="66" t="str">
        <x:v>0.6818524992288598</x:v>
      </x:c>
      <x:c r="W20" s="68" t="str">
        <x:v>45888.48468633376</x:v>
      </x:c>
      <x:c r="X20" s="68" t="str">
        <x:v>85943667.3478605</x:v>
      </x:c>
      <x:c r="Y20" s="68" t="str">
        <x:v>928835334.0752149</x:v>
      </x:c>
      <x:c r="Z20" s="66" t="str">
        <x:v>-2.0999356783812594e-05</x:v>
      </x:c>
      <x:c r="AA20" s="66" t="str">
        <x:v>-0.05736418120372742</x:v>
      </x:c>
      <x:c r="AB20" s="66" t="str">
        <x:v>-0.34137245986264597</x:v>
      </x:c>
      <x:c r="AC20" s="68" t="str">
        <x:v>12885.30997898726</x:v>
      </x:c>
      <x:c r="AD20" s="68" t="str">
        <x:v>5815.718351431625</x:v>
      </x:c>
      <x:c r="AE20" s="68" t="str">
        <x:v>27187.45635591487</x:v>
      </x:c>
      <x:c r="AF20" s="68" t="str">
        <x:v>8502605.890556265</x:v>
      </x:c>
      <x:c r="AG20" s="68" t="str">
        <x:v>77441061.45730424</x:v>
      </x:c>
      <x:c r="AH20" s="70" t="str">
        <x:v>143510.0</x:v>
      </x:c>
      <x:c r="AI20" s="70" t="str">
        <x:v>259090.0</x:v>
      </x:c>
      <x:c r="AJ20" s="70" t="str">
        <x:v>15140000.0</x:v>
      </x:c>
      <x:c r="AK20" s="68" t="str">
        <x:v>261126000000.0</x:v>
      </x:c>
      <x:c r="AL20" s="66" t="str">
        <x:v>0.18089619337783003</x:v>
      </x:c>
      <x:c r="AM20" s="70" t="str">
        <x:v>0.0</x:v>
      </x:c>
      <x:c r="AN20" s="70" t="str">
        <x:v>0.0</x:v>
      </x:c>
      <x:c r="AO20" s="66" t="str"/>
      <x:c r="AP20" s="14" t="str">
        <x:v>Unverified</x:v>
      </x:c>
      <x:c r="AQ20" s="47" t="str">
        <x:v>Proxy fallback; no issuer facilities in governed match file</x:v>
      </x:c>
      <x:c r="AR20" s="66" t="str"/>
      <x:c r="AS20" s="66" t="str">
        <x:v>7.579869737287252</x:v>
      </x:c>
      <x:c r="AT20" s="66" t="str">
        <x:v>0.0</x:v>
      </x:c>
      <x:c r="AU20" s="66" t="str">
        <x:v>9.627276973766637</x:v>
      </x:c>
      <x:c r="AV20" s="66" t="str">
        <x:v>2.5</x:v>
      </x:c>
      <x:c r="AW20" s="72" t="str">
        <x:v>0.5</x:v>
      </x:c>
      <x:c r="AX20" s="72" t="str">
        <x:v>0.7</x:v>
      </x:c>
      <x:c r="AY20" s="72" t="str">
        <x:v>0.25</x:v>
      </x:c>
      <x:c r="AZ20" s="72" t="str">
        <x:v>0.01</x:v>
      </x:c>
      <x:c r="BA20" s="72" t="str">
        <x:v>0.05</x:v>
      </x:c>
      <x:c r="BB20" s="72" t="str">
        <x:v>0.06</x:v>
      </x:c>
      <x:c r="BC20" s="72" t="str">
        <x:v>0.7</x:v>
      </x:c>
      <x:c r="BD20" s="72" t="str">
        <x:v>0.05</x:v>
      </x:c>
      <x:c r="BE20" s="72" t="str">
        <x:v>0.15</x:v>
      </x:c>
      <x:c r="BF20" s="14" t="str">
        <x:v>1.0</x:v>
      </x:c>
      <x:c r="BG20" s="72" t="str">
        <x:v>0.35</x:v>
      </x:c>
      <x:c r="BH20" s="74" t="str">
        <x:v>0.974074998898371</x:v>
      </x:c>
      <x:c r="BI20" s="47" t="str">
        <x:v>Common scenario elasticity + issuer SEC CapEx/CFO dependency scale</x:v>
      </x:c>
      <x:c r="BJ20" s="47" t="str">
        <x:v>Modeled estimate using observed inputs + disclosed assumptions</x:v>
      </x:c>
      <x:c r="BK20" s="14" t="str">
        <x:v>False</x:v>
      </x:c>
      <x:c r="BL20" s="14" t="str">
        <x:v>False</x:v>
      </x:c>
      <x:c r="BM20" s="14" t="str">
        <x:v>False</x:v>
      </x:c>
      <x:c r="BN20" s="47" t="str">
        <x:v>Conditional scenario sensitivity; not a forecast or probability</x:v>
      </x:c>
      <x:c r="BO20" s="66" t="str">
        <x:v>100.40035408291754</x:v>
      </x:c>
    </x:row>
    <x:row r="21">
      <x:c r="A21" s="14" t="str">
        <x:v>MSFT</x:v>
      </x:c>
      <x:c r="B21" s="14" t="str">
        <x:v>Technology</x:v>
      </x:c>
      <x:c r="C21" s="14" t="str">
        <x:v>cp_vs_baseline</x:v>
      </x:c>
      <x:c r="D21" s="47" t="str">
        <x:v>Current Policies vs baseline</x:v>
      </x:c>
      <x:c r="E21" s="14" t="str">
        <x:v>CP vs baseline</x:v>
      </x:c>
      <x:c r="F21" s="14" t="str">
        <x:v>current_policies</x:v>
      </x:c>
      <x:c r="G21" s="14" t="str">
        <x:v>baseline</x:v>
      </x:c>
      <x:c r="H21" s="14" t="str">
        <x:v>2050</x:v>
      </x:c>
      <x:c r="I21" s="14" t="str">
        <x:v>base</x:v>
      </x:c>
      <x:c r="J21" s="14" t="str">
        <x:v>True</x:v>
      </x:c>
      <x:c r="K21" s="14" t="str">
        <x:v>CFP-2026-003-R17-20260804T234500Z</x:v>
      </x:c>
      <x:c r="L2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1" s="66" t="str">
        <x:v>-0.7744439350163335</x:v>
      </x:c>
      <x:c r="N21" s="68" t="str">
        <x:v>1056700433995.6056</x:v>
      </x:c>
      <x:c r="O21" s="68" t="str">
        <x:v>1048516881573.2354</x:v>
      </x:c>
      <x:c r="P21" s="68" t="str">
        <x:v>136222325961.35968</x:v>
      </x:c>
      <x:c r="Q21" s="68" t="str">
        <x:v>134348025850.03798</x:v>
      </x:c>
      <x:c r="R21" s="68" t="str">
        <x:v>-1874300111.321701</x:v>
      </x:c>
      <x:c r="S21" s="68" t="str">
        <x:v>73477040696.4498</x:v>
      </x:c>
      <x:c r="T21" s="66" t="str">
        <x:v>0.00018774159860667153</x:v>
      </x:c>
      <x:c r="U21" s="66" t="str">
        <x:v>0.20683483359420743</x:v>
      </x:c>
      <x:c r="V21" s="66" t="str">
        <x:v>1.1688899986780452</x:v>
      </x:c>
      <x:c r="W21" s="68" t="str">
        <x:v>255745.97241904758</x:v>
      </x:c>
      <x:c r="X21" s="68" t="str">
        <x:v>281755221.2203371</x:v>
      </x:c>
      <x:c r="Y21" s="68" t="str">
        <x:v>1592289144.1289396</x:v>
      </x:c>
      <x:c r="Z21" s="66" t="str">
        <x:v>-0.0001019131860669087</x:v>
      </x:c>
      <x:c r="AA21" s="66" t="str">
        <x:v>-0.18913209063713665</x:v>
      </x:c>
      <x:c r="AB21" s="66" t="str">
        <x:v>-0.5852099311931296</x:v>
      </x:c>
      <x:c r="AC21" s="68" t="str">
        <x:v>54229.812622642996</x:v>
      </x:c>
      <x:c r="AD21" s="68" t="str">
        <x:v>48952.693723087505</x:v>
      </x:c>
      <x:c r="AE21" s="68" t="str">
        <x:v>152563.46607331707</x:v>
      </x:c>
      <x:c r="AF21" s="68" t="str">
        <x:v>23618349.695989624</x:v>
      </x:c>
      <x:c r="AG21" s="68" t="str">
        <x:v>258136871.52434748</x:v>
      </x:c>
      <x:c r="AH21" s="70" t="str">
        <x:v>143510.0</x:v>
      </x:c>
      <x:c r="AI21" s="70" t="str">
        <x:v>259090.0</x:v>
      </x:c>
      <x:c r="AJ21" s="70" t="str">
        <x:v>15140000.0</x:v>
      </x:c>
      <x:c r="AK21" s="68" t="str">
        <x:v>261126000000.0</x:v>
      </x:c>
      <x:c r="AL21" s="66" t="str">
        <x:v>0.18089619337783003</x:v>
      </x:c>
      <x:c r="AM21" s="70" t="str">
        <x:v>0.0</x:v>
      </x:c>
      <x:c r="AN21" s="70" t="str">
        <x:v>0.0</x:v>
      </x:c>
      <x:c r="AO21" s="66" t="str"/>
      <x:c r="AP21" s="14" t="str">
        <x:v>Unverified</x:v>
      </x:c>
      <x:c r="AQ21" s="47" t="str">
        <x:v>Proxy fallback; no issuer facilities in governed match file</x:v>
      </x:c>
      <x:c r="AR21" s="66" t="str"/>
      <x:c r="AS21" s="66" t="str">
        <x:v>7.579869737287252</x:v>
      </x:c>
      <x:c r="AT21" s="66" t="str">
        <x:v>0.0</x:v>
      </x:c>
      <x:c r="AU21" s="66" t="str">
        <x:v>9.627276973766637</x:v>
      </x:c>
      <x:c r="AV21" s="66" t="str">
        <x:v>2.5</x:v>
      </x:c>
      <x:c r="AW21" s="72" t="str">
        <x:v>0.75</x:v>
      </x:c>
      <x:c r="AX21" s="72" t="str">
        <x:v>0.5</x:v>
      </x:c>
      <x:c r="AY21" s="72" t="str">
        <x:v>0.5</x:v>
      </x:c>
      <x:c r="AZ21" s="72" t="str">
        <x:v>0.02</x:v>
      </x:c>
      <x:c r="BA21" s="72" t="str">
        <x:v>0.03</x:v>
      </x:c>
      <x:c r="BB21" s="72" t="str">
        <x:v>0.1</x:v>
      </x:c>
      <x:c r="BC21" s="72" t="str">
        <x:v>0.5</x:v>
      </x:c>
      <x:c r="BD21" s="72" t="str">
        <x:v>0.1</x:v>
      </x:c>
      <x:c r="BE21" s="72" t="str">
        <x:v>0.25</x:v>
      </x:c>
      <x:c r="BF21" s="14" t="str">
        <x:v>1.0</x:v>
      </x:c>
      <x:c r="BG21" s="72" t="str">
        <x:v>0.6</x:v>
      </x:c>
      <x:c r="BH21" s="74" t="str">
        <x:v>0.974074998898371</x:v>
      </x:c>
      <x:c r="BI21" s="47" t="str">
        <x:v>Common scenario elasticity + issuer SEC CapEx/CFO dependency scale</x:v>
      </x:c>
      <x:c r="BJ21" s="47" t="str">
        <x:v>Modeled estimate using observed inputs + disclosed assumptions</x:v>
      </x:c>
      <x:c r="BK21" s="14" t="str">
        <x:v>False</x:v>
      </x:c>
      <x:c r="BL21" s="14" t="str">
        <x:v>False</x:v>
      </x:c>
      <x:c r="BM21" s="14" t="str">
        <x:v>False</x:v>
      </x:c>
      <x:c r="BN21" s="47" t="str">
        <x:v>Conditional scenario sensitivity; not a forecast or probability</x:v>
      </x:c>
      <x:c r="BO21" s="66" t="str">
        <x:v>100.78048837993828</x:v>
      </x:c>
    </x:row>
    <x:row r="22">
      <x:c r="A22" s="14" t="str">
        <x:v>MSFT</x:v>
      </x:c>
      <x:c r="B22" s="14" t="str">
        <x:v>Technology</x:v>
      </x:c>
      <x:c r="C22" s="14" t="str">
        <x:v>cp_vs_baseline</x:v>
      </x:c>
      <x:c r="D22" s="47" t="str">
        <x:v>Current Policies vs baseline</x:v>
      </x:c>
      <x:c r="E22" s="14" t="str">
        <x:v>CP vs baseline</x:v>
      </x:c>
      <x:c r="F22" s="14" t="str">
        <x:v>current_policies</x:v>
      </x:c>
      <x:c r="G22" s="14" t="str">
        <x:v>baseline</x:v>
      </x:c>
      <x:c r="H22" s="14" t="str">
        <x:v>2050</x:v>
      </x:c>
      <x:c r="I22" s="14" t="str">
        <x:v>high</x:v>
      </x:c>
      <x:c r="J22" s="14" t="str">
        <x:v>True</x:v>
      </x:c>
      <x:c r="K22" s="14" t="str">
        <x:v>CFP-2026-003-R17-20260804T234500Z</x:v>
      </x:c>
      <x:c r="L2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2" s="66" t="str">
        <x:v>-1.5673284165067858</x:v>
      </x:c>
      <x:c r="N22" s="68" t="str">
        <x:v>1056700433995.6056</x:v>
      </x:c>
      <x:c r="O22" s="68" t="str">
        <x:v>1040138467816.242</x:v>
      </x:c>
      <x:c r="P22" s="68" t="str">
        <x:v>136222325961.35968</x:v>
      </x:c>
      <x:c r="Q22" s="68" t="str">
        <x:v>132696725597.14645</x:v>
      </x:c>
      <x:c r="R22" s="68" t="str">
        <x:v>-3525600364.2132263</x:v>
      </x:c>
      <x:c r="S22" s="68" t="str">
        <x:v>73477040696.4498</x:v>
      </x:c>
      <x:c r="T22" s="66" t="str">
        <x:v>0.0008137096376615691</x:v>
      </x:c>
      <x:c r="U22" s="66" t="str">
        <x:v>0.6391585693892096</x:v>
      </x:c>
      <x:c r="V22" s="66" t="str">
        <x:v>1.9481499977967422</x:v>
      </x:c>
      <x:c r="W22" s="68" t="str">
        <x:v>1108454.1949943416</x:v>
      </x:c>
      <x:c r="X22" s="68" t="str">
        <x:v>870676669.8033323</x:v>
      </x:c>
      <x:c r="Y22" s="68" t="str">
        <x:v>2653815240.2148995</x:v>
      </x:c>
      <x:c r="Z22" s="66" t="str">
        <x:v>-0.0003919370874306703</x:v>
      </x:c>
      <x:c r="AA22" s="66" t="str">
        <x:v>-0.5915865940974809</x:v>
      </x:c>
      <x:c r="AB22" s="66" t="str">
        <x:v>-0.9753498853218732</x:v>
      </x:c>
      <x:c r="AC22" s="68" t="str">
        <x:v>168613.12768987333</x:v>
      </x:c>
      <x:c r="AD22" s="68" t="str">
        <x:v>228308.00250767864</x:v>
      </x:c>
      <x:c r="AE22" s="68" t="str">
        <x:v>711533.0647967897</x:v>
      </x:c>
      <x:c r="AF22" s="68" t="str">
        <x:v>44638680.92542038</x:v>
      </x:c>
      <x:c r="AG22" s="68" t="str">
        <x:v>826037988.8779119</x:v>
      </x:c>
      <x:c r="AH22" s="70" t="str">
        <x:v>143510.0</x:v>
      </x:c>
      <x:c r="AI22" s="70" t="str">
        <x:v>259090.0</x:v>
      </x:c>
      <x:c r="AJ22" s="70" t="str">
        <x:v>15140000.0</x:v>
      </x:c>
      <x:c r="AK22" s="68" t="str">
        <x:v>261126000000.0</x:v>
      </x:c>
      <x:c r="AL22" s="66" t="str">
        <x:v>0.18089619337783003</x:v>
      </x:c>
      <x:c r="AM22" s="70" t="str">
        <x:v>0.0</x:v>
      </x:c>
      <x:c r="AN22" s="70" t="str">
        <x:v>0.0</x:v>
      </x:c>
      <x:c r="AO22" s="66" t="str"/>
      <x:c r="AP22" s="14" t="str">
        <x:v>Unverified</x:v>
      </x:c>
      <x:c r="AQ22" s="47" t="str">
        <x:v>Proxy fallback; no issuer facilities in governed match file</x:v>
      </x:c>
      <x:c r="AR22" s="66" t="str"/>
      <x:c r="AS22" s="66" t="str">
        <x:v>7.579869737287252</x:v>
      </x:c>
      <x:c r="AT22" s="66" t="str">
        <x:v>0.0</x:v>
      </x:c>
      <x:c r="AU22" s="66" t="str">
        <x:v>9.627276973766637</x:v>
      </x:c>
      <x:c r="AV22" s="66" t="str">
        <x:v>2.5</x:v>
      </x:c>
      <x:c r="AW22" s="72" t="str">
        <x:v>1.0</x:v>
      </x:c>
      <x:c r="AX22" s="72" t="str">
        <x:v>0.3</x:v>
      </x:c>
      <x:c r="AY22" s="72" t="str">
        <x:v>0.75</x:v>
      </x:c>
      <x:c r="AZ22" s="72" t="str">
        <x:v>0.04</x:v>
      </x:c>
      <x:c r="BA22" s="72" t="str">
        <x:v>0.01</x:v>
      </x:c>
      <x:c r="BB22" s="72" t="str">
        <x:v>0.135</x:v>
      </x:c>
      <x:c r="BC22" s="72" t="str">
        <x:v>0.3</x:v>
      </x:c>
      <x:c r="BD22" s="72" t="str">
        <x:v>0.2</x:v>
      </x:c>
      <x:c r="BE22" s="72" t="str">
        <x:v>0.4</x:v>
      </x:c>
      <x:c r="BF22" s="14" t="str">
        <x:v>1.0</x:v>
      </x:c>
      <x:c r="BG22" s="72" t="str">
        <x:v>1.0</x:v>
      </x:c>
      <x:c r="BH22" s="74" t="str">
        <x:v>0.974074998898371</x:v>
      </x:c>
      <x:c r="BI22" s="47" t="str">
        <x:v>Common scenario elasticity + issuer SEC CapEx/CFO dependency scale</x:v>
      </x:c>
      <x:c r="BJ22" s="47" t="str">
        <x:v>Modeled estimate using observed inputs + disclosed assumptions</x:v>
      </x:c>
      <x:c r="BK22" s="14" t="str">
        <x:v>False</x:v>
      </x:c>
      <x:c r="BL22" s="14" t="str">
        <x:v>False</x:v>
      </x:c>
      <x:c r="BM22" s="14" t="str">
        <x:v>False</x:v>
      </x:c>
      <x:c r="BN22" s="47" t="str">
        <x:v>Conditional scenario sensitivity; not a forecast or probability</x:v>
      </x:c>
      <x:c r="BO22" s="66" t="str">
        <x:v>101.59228474783124</x:v>
      </x:c>
    </x:row>
    <x:row r="23">
      <x:c r="A23" s="14" t="str">
        <x:v>NEE</x:v>
      </x:c>
      <x:c r="B23" s="14" t="str">
        <x:v>Utilities</x:v>
      </x:c>
      <x:c r="C23" s="14" t="str">
        <x:v>cp_vs_baseline</x:v>
      </x:c>
      <x:c r="D23" s="47" t="str">
        <x:v>Current Policies vs baseline</x:v>
      </x:c>
      <x:c r="E23" s="14" t="str">
        <x:v>CP vs baseline</x:v>
      </x:c>
      <x:c r="F23" s="14" t="str">
        <x:v>current_policies</x:v>
      </x:c>
      <x:c r="G23" s="14" t="str">
        <x:v>baseline</x:v>
      </x:c>
      <x:c r="H23" s="14" t="str">
        <x:v>2050</x:v>
      </x:c>
      <x:c r="I23" s="14" t="str">
        <x:v>low</x:v>
      </x:c>
      <x:c r="J23" s="14" t="str">
        <x:v>True</x:v>
      </x:c>
      <x:c r="K23" s="14" t="str">
        <x:v>CFP-2026-003-R17-20260804T234500Z</x:v>
      </x:c>
      <x:c r="L2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3" s="66" t="str">
        <x:v>-1.1078890675151554</x:v>
      </x:c>
      <x:c r="N23" s="68" t="str">
        <x:v>207787213356.48944</x:v>
      </x:c>
      <x:c r="O23" s="68" t="str">
        <x:v>205485161536.0185</x:v>
      </x:c>
      <x:c r="P23" s="68" t="str">
        <x:v>16208268485.95464</x:v>
      </x:c>
      <x:c r="Q23" s="68" t="str">
        <x:v>15922536116.732552</x:v>
      </x:c>
      <x:c r="R23" s="68" t="str">
        <x:v>-285732369.22208786</x:v>
      </x:c>
      <x:c r="S23" s="68" t="str">
        <x:v>9879440000.0</x:v>
      </x:c>
      <x:c r="T23" s="66" t="str">
        <x:v>0.024050955075525963</x:v>
      </x:c>
      <x:c r="U23" s="66" t="str">
        <x:v>0.33882932710692976</x:v>
      </x:c>
      <x:c r="V23" s="66" t="str">
        <x:v>1.4</x:v>
      </x:c>
      <x:c r="W23" s="68" t="str">
        <x:v>3898243.3720775824</x:v>
      </x:c>
      <x:c r="X23" s="68" t="str">
        <x:v>54918367.04664466</x:v>
      </x:c>
      <x:c r="Y23" s="68" t="str">
        <x:v>226915758.80336493</x:v>
      </x:c>
      <x:c r="Z23" s="66" t="str">
        <x:v>-0.01694812608438643</x:v>
      </x:c>
      <x:c r="AA23" s="66" t="str">
        <x:v>-0.24342921060352066</x:v>
      </x:c>
      <x:c r="AB23" s="66" t="str">
        <x:v>-0.8475117308272532</x:v>
      </x:c>
      <x:c r="AC23" s="68" t="str">
        <x:v>3897639.388121827</x:v>
      </x:c>
      <x:c r="AD23" s="68" t="str">
        <x:v>574.7031415790029</x:v>
      </x:c>
      <x:c r="AE23" s="68" t="str">
        <x:v>29.280814176502933</x:v>
      </x:c>
      <x:c r="AF23" s="68" t="str">
        <x:v>45704124.76235609</x:v>
      </x:c>
      <x:c r="AG23" s="68" t="str">
        <x:v>9214242.284288568</x:v>
      </x:c>
      <x:c r="AH23" s="70" t="str">
        <x:v>43409916.37</x:v>
      </x:c>
      <x:c r="AI23" s="70" t="str">
        <x:v>25603.0</x:v>
      </x:c>
      <x:c r="AJ23" s="70" t="str">
        <x:v>65222.95</x:v>
      </x:c>
      <x:c r="AK23" s="68" t="str">
        <x:v>156197000000.0</x:v>
      </x:c>
      <x:c r="AL23" s="66" t="str">
        <x:v>0.25009029941509914</x:v>
      </x:c>
      <x:c r="AM23" s="70" t="str">
        <x:v>23.0</x:v>
      </x:c>
      <x:c r="AN23" s="70" t="str">
        <x:v>27.0</x:v>
      </x:c>
      <x:c r="AO23" s="66" t="str">
        <x:v>85.18518518518519</x:v>
      </x:c>
      <x:c r="AP23" s="14" t="str">
        <x:v>High</x:v>
      </x:c>
      <x:c r="AQ23" s="47" t="str">
        <x:v>Issuer facility-to-FEMA county match</x:v>
      </x:c>
      <x:c r="AR23" s="66" t="str">
        <x:v>0.25009029941509914</x:v>
      </x:c>
      <x:c r="AS23" s="66" t="str">
        <x:v>7.579869737287252</x:v>
      </x:c>
      <x:c r="AT23" s="66" t="str">
        <x:v>0.0</x:v>
      </x:c>
      <x:c r="AU23" s="66" t="str">
        <x:v>6.849686675720218</x:v>
      </x:c>
      <x:c r="AV23" s="66" t="str">
        <x:v>2.0</x:v>
      </x:c>
      <x:c r="AW23" s="72" t="str">
        <x:v>0.5</x:v>
      </x:c>
      <x:c r="AX23" s="72" t="str">
        <x:v>0.7</x:v>
      </x:c>
      <x:c r="AY23" s="72" t="str">
        <x:v>0.25</x:v>
      </x:c>
      <x:c r="AZ23" s="72" t="str">
        <x:v>0.0025</x:v>
      </x:c>
      <x:c r="BA23" s="72" t="str">
        <x:v>0.05</x:v>
      </x:c>
      <x:c r="BB23" s="72" t="str">
        <x:v>0.39</x:v>
      </x:c>
      <x:c r="BC23" s="72" t="str">
        <x:v>0.7</x:v>
      </x:c>
      <x:c r="BD23" s="72" t="str">
        <x:v>0.05</x:v>
      </x:c>
      <x:c r="BE23" s="72" t="str">
        <x:v>0.15</x:v>
      </x:c>
      <x:c r="BF23" s="14" t="str">
        <x:v>1.0</x:v>
      </x:c>
      <x:c r="BG23" s="72" t="str">
        <x:v>0.35</x:v>
      </x:c>
      <x:c r="BH23" s="74" t="str">
        <x:v>2.0</x:v>
      </x:c>
      <x:c r="BI23" s="47" t="str">
        <x:v>Common scenario elasticity + issuer SEC CapEx/CFO dependency scale</x:v>
      </x:c>
      <x:c r="BJ23" s="47" t="str">
        <x:v>Modeled estimate using observed inputs + disclosed assumptions</x:v>
      </x:c>
      <x:c r="BK23" s="14" t="str">
        <x:v>False</x:v>
      </x:c>
      <x:c r="BL23" s="14" t="str">
        <x:v>False</x:v>
      </x:c>
      <x:c r="BM23" s="14" t="str">
        <x:v>False</x:v>
      </x:c>
      <x:c r="BN23" s="47" t="str">
        <x:v>Conditional scenario sensitivity; not a forecast or probability</x:v>
      </x:c>
      <x:c r="BO23" s="66" t="str">
        <x:v>101.12030075712666</x:v>
      </x:c>
    </x:row>
    <x:row r="24">
      <x:c r="A24" s="14" t="str">
        <x:v>NEE</x:v>
      </x:c>
      <x:c r="B24" s="14" t="str">
        <x:v>Utilities</x:v>
      </x:c>
      <x:c r="C24" s="14" t="str">
        <x:v>cp_vs_baseline</x:v>
      </x:c>
      <x:c r="D24" s="47" t="str">
        <x:v>Current Policies vs baseline</x:v>
      </x:c>
      <x:c r="E24" s="14" t="str">
        <x:v>CP vs baseline</x:v>
      </x:c>
      <x:c r="F24" s="14" t="str">
        <x:v>current_policies</x:v>
      </x:c>
      <x:c r="G24" s="14" t="str">
        <x:v>baseline</x:v>
      </x:c>
      <x:c r="H24" s="14" t="str">
        <x:v>2050</x:v>
      </x:c>
      <x:c r="I24" s="14" t="str">
        <x:v>base</x:v>
      </x:c>
      <x:c r="J24" s="14" t="str">
        <x:v>True</x:v>
      </x:c>
      <x:c r="K24" s="14" t="str">
        <x:v>CFP-2026-003-R17-20260804T234500Z</x:v>
      </x:c>
      <x:c r="L2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4" s="66" t="str">
        <x:v>-2.2237366704251804</x:v>
      </x:c>
      <x:c r="N24" s="68" t="str">
        <x:v>207787213356.48944</x:v>
      </x:c>
      <x:c r="O24" s="68" t="str">
        <x:v>203166572896.6266</x:v>
      </x:c>
      <x:c r="P24" s="68" t="str">
        <x:v>16208268485.95464</x:v>
      </x:c>
      <x:c r="Q24" s="68" t="str">
        <x:v>15645191181.486599</x:v>
      </x:c>
      <x:c r="R24" s="68" t="str">
        <x:v>-563077304.4680405</x:v>
      </x:c>
      <x:c r="S24" s="68" t="str">
        <x:v>9879440000.0</x:v>
      </x:c>
      <x:c r="T24" s="66" t="str">
        <x:v>0.10123732682527649</x:v>
      </x:c>
      <x:c r="U24" s="66" t="str">
        <x:v>0.9727753658690571</x:v>
      </x:c>
      <x:c r="V24" s="66" t="str">
        <x:v>2.4</x:v>
      </x:c>
      <x:c r="W24" s="68" t="str">
        <x:v>16408817.73984419</x:v>
      </x:c>
      <x:c r="X24" s="68" t="str">
        <x:v>157670043.06528434</x:v>
      </x:c>
      <x:c r="Y24" s="68" t="str">
        <x:v>388998443.66291136</x:v>
      </x:c>
      <x:c r="Z24" s="66" t="str">
        <x:v>-0.06450294060377629</x:v>
      </x:c>
      <x:c r="AA24" s="66" t="str">
        <x:v>-0.7063564769746915</x:v>
      </x:c>
      <x:c r="AB24" s="66" t="str">
        <x:v>-1.4528772528467075</x:v>
      </x:c>
      <x:c r="AC24" s="68" t="str">
        <x:v>16403815.975957794</x:v>
      </x:c>
      <x:c r="AD24" s="68" t="str">
        <x:v>4837.453461701376</x:v>
      </x:c>
      <x:c r="AE24" s="68" t="str">
        <x:v>164.310424694958</x:v>
      </x:c>
      <x:c r="AF24" s="68" t="str">
        <x:v>126955902.11765577</x:v>
      </x:c>
      <x:c r="AG24" s="68" t="str">
        <x:v>30714140.94762856</x:v>
      </x:c>
      <x:c r="AH24" s="70" t="str">
        <x:v>43409916.37</x:v>
      </x:c>
      <x:c r="AI24" s="70" t="str">
        <x:v>25603.0</x:v>
      </x:c>
      <x:c r="AJ24" s="70" t="str">
        <x:v>65222.95</x:v>
      </x:c>
      <x:c r="AK24" s="68" t="str">
        <x:v>156197000000.0</x:v>
      </x:c>
      <x:c r="AL24" s="66" t="str">
        <x:v>0.25009029941509914</x:v>
      </x:c>
      <x:c r="AM24" s="70" t="str">
        <x:v>23.0</x:v>
      </x:c>
      <x:c r="AN24" s="70" t="str">
        <x:v>27.0</x:v>
      </x:c>
      <x:c r="AO24" s="66" t="str">
        <x:v>85.18518518518519</x:v>
      </x:c>
      <x:c r="AP24" s="14" t="str">
        <x:v>High</x:v>
      </x:c>
      <x:c r="AQ24" s="47" t="str">
        <x:v>Issuer facility-to-FEMA county match</x:v>
      </x:c>
      <x:c r="AR24" s="66" t="str">
        <x:v>0.25009029941509914</x:v>
      </x:c>
      <x:c r="AS24" s="66" t="str">
        <x:v>7.579869737287252</x:v>
      </x:c>
      <x:c r="AT24" s="66" t="str">
        <x:v>0.0</x:v>
      </x:c>
      <x:c r="AU24" s="66" t="str">
        <x:v>6.849686675720218</x:v>
      </x:c>
      <x:c r="AV24" s="66" t="str">
        <x:v>2.0</x:v>
      </x:c>
      <x:c r="AW24" s="72" t="str">
        <x:v>0.75</x:v>
      </x:c>
      <x:c r="AX24" s="72" t="str">
        <x:v>0.5</x:v>
      </x:c>
      <x:c r="AY24" s="72" t="str">
        <x:v>0.5</x:v>
      </x:c>
      <x:c r="AZ24" s="72" t="str">
        <x:v>0.005</x:v>
      </x:c>
      <x:c r="BA24" s="72" t="str">
        <x:v>0.03</x:v>
      </x:c>
      <x:c r="BB24" s="72" t="str">
        <x:v>0.65</x:v>
      </x:c>
      <x:c r="BC24" s="72" t="str">
        <x:v>0.5</x:v>
      </x:c>
      <x:c r="BD24" s="72" t="str">
        <x:v>0.1</x:v>
      </x:c>
      <x:c r="BE24" s="72" t="str">
        <x:v>0.25</x:v>
      </x:c>
      <x:c r="BF24" s="14" t="str">
        <x:v>1.0</x:v>
      </x:c>
      <x:c r="BG24" s="72" t="str">
        <x:v>0.6</x:v>
      </x:c>
      <x:c r="BH24" s="74" t="str">
        <x:v>2.0</x:v>
      </x:c>
      <x:c r="BI24" s="47" t="str">
        <x:v>Common scenario elasticity + issuer SEC CapEx/CFO dependency scale</x:v>
      </x:c>
      <x:c r="BJ24" s="47" t="str">
        <x:v>Modeled estimate using observed inputs + disclosed assumptions</x:v>
      </x:c>
      <x:c r="BK24" s="14" t="str">
        <x:v>False</x:v>
      </x:c>
      <x:c r="BL24" s="14" t="str">
        <x:v>False</x:v>
      </x:c>
      <x:c r="BM24" s="14" t="str">
        <x:v>False</x:v>
      </x:c>
      <x:c r="BN24" s="47" t="str">
        <x:v>Conditional scenario sensitivity; not a forecast or probability</x:v>
      </x:c>
      <x:c r="BO24" s="66" t="str">
        <x:v>102.27431136627672</x:v>
      </x:c>
    </x:row>
    <x:row r="25">
      <x:c r="A25" s="14" t="str">
        <x:v>NEE</x:v>
      </x:c>
      <x:c r="B25" s="14" t="str">
        <x:v>Utilities</x:v>
      </x:c>
      <x:c r="C25" s="14" t="str">
        <x:v>cp_vs_baseline</x:v>
      </x:c>
      <x:c r="D25" s="47" t="str">
        <x:v>Current Policies vs baseline</x:v>
      </x:c>
      <x:c r="E25" s="14" t="str">
        <x:v>CP vs baseline</x:v>
      </x:c>
      <x:c r="F25" s="14" t="str">
        <x:v>current_policies</x:v>
      </x:c>
      <x:c r="G25" s="14" t="str">
        <x:v>baseline</x:v>
      </x:c>
      <x:c r="H25" s="14" t="str">
        <x:v>2050</x:v>
      </x:c>
      <x:c r="I25" s="14" t="str">
        <x:v>high</x:v>
      </x:c>
      <x:c r="J25" s="14" t="str">
        <x:v>True</x:v>
      </x:c>
      <x:c r="K25" s="14" t="str">
        <x:v>CFP-2026-003-R17-20260804T234500Z</x:v>
      </x:c>
      <x:c r="L2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5" s="66" t="str">
        <x:v>-4.177851074255045</x:v>
      </x:c>
      <x:c r="N25" s="68" t="str">
        <x:v>207787213356.48944</x:v>
      </x:c>
      <x:c r="O25" s="68" t="str">
        <x:v>199106173031.11072</x:v>
      </x:c>
      <x:c r="P25" s="68" t="str">
        <x:v>16208268485.95464</x:v>
      </x:c>
      <x:c r="Q25" s="68" t="str">
        <x:v>15170679225.627037</x:v>
      </x:c>
      <x:c r="R25" s="68" t="str">
        <x:v>-1037589260.3276024</x:v>
      </x:c>
      <x:c r="S25" s="68" t="str">
        <x:v>9879440000.0</x:v>
      </x:c>
      <x:c r="T25" s="66" t="str">
        <x:v>0.3148184206033634</x:v>
      </x:c>
      <x:c r="U25" s="66" t="str">
        <x:v>2.0867861753886756</x:v>
      </x:c>
      <x:c r="V25" s="66" t="str">
        <x:v>4.0</x:v>
      </x:c>
      <x:c r="W25" s="68" t="str">
        <x:v>51026614.85463508</x:v>
      </x:c>
      <x:c r="X25" s="68" t="str">
        <x:v>338231906.0347808</x:v>
      </x:c>
      <x:c r="Y25" s="68" t="str">
        <x:v>648330739.4381856</x:v>
      </x:c>
      <x:c r="Z25" s="66" t="str">
        <x:v>-0.18428443385104806</x:v>
      </x:c>
      <x:c r="AA25" s="66" t="str">
        <x:v>-1.5721045523261472</x:v>
      </x:c>
      <x:c r="AB25" s="66" t="str">
        <x:v>-2.4214620880778526</x:v>
      </x:c>
      <x:c r="AC25" s="68" t="str">
        <x:v>51003287.37998419</x:v>
      </x:c>
      <x:c r="AD25" s="68" t="str">
        <x:v>22561.15553747384</x:v>
      </x:c>
      <x:c r="AE25" s="68" t="str">
        <x:v>766.3191134178959</x:v>
      </x:c>
      <x:c r="AF25" s="68" t="str">
        <x:v>239946655.0023694</x:v>
      </x:c>
      <x:c r="AG25" s="68" t="str">
        <x:v>98285251.03241141</x:v>
      </x:c>
      <x:c r="AH25" s="70" t="str">
        <x:v>43409916.37</x:v>
      </x:c>
      <x:c r="AI25" s="70" t="str">
        <x:v>25603.0</x:v>
      </x:c>
      <x:c r="AJ25" s="70" t="str">
        <x:v>65222.95</x:v>
      </x:c>
      <x:c r="AK25" s="68" t="str">
        <x:v>156197000000.0</x:v>
      </x:c>
      <x:c r="AL25" s="66" t="str">
        <x:v>0.25009029941509914</x:v>
      </x:c>
      <x:c r="AM25" s="70" t="str">
        <x:v>23.0</x:v>
      </x:c>
      <x:c r="AN25" s="70" t="str">
        <x:v>27.0</x:v>
      </x:c>
      <x:c r="AO25" s="66" t="str">
        <x:v>85.18518518518519</x:v>
      </x:c>
      <x:c r="AP25" s="14" t="str">
        <x:v>High</x:v>
      </x:c>
      <x:c r="AQ25" s="47" t="str">
        <x:v>Issuer facility-to-FEMA county match</x:v>
      </x:c>
      <x:c r="AR25" s="66" t="str">
        <x:v>0.25009029941509914</x:v>
      </x:c>
      <x:c r="AS25" s="66" t="str">
        <x:v>7.579869737287252</x:v>
      </x:c>
      <x:c r="AT25" s="66" t="str">
        <x:v>0.0</x:v>
      </x:c>
      <x:c r="AU25" s="66" t="str">
        <x:v>6.849686675720218</x:v>
      </x:c>
      <x:c r="AV25" s="66" t="str">
        <x:v>2.0</x:v>
      </x:c>
      <x:c r="AW25" s="72" t="str">
        <x:v>1.0</x:v>
      </x:c>
      <x:c r="AX25" s="72" t="str">
        <x:v>0.3</x:v>
      </x:c>
      <x:c r="AY25" s="72" t="str">
        <x:v>0.75</x:v>
      </x:c>
      <x:c r="AZ25" s="72" t="str">
        <x:v>0.01</x:v>
      </x:c>
      <x:c r="BA25" s="72" t="str">
        <x:v>0.01</x:v>
      </x:c>
      <x:c r="BB25" s="72" t="str">
        <x:v>0.8775000000000001</x:v>
      </x:c>
      <x:c r="BC25" s="72" t="str">
        <x:v>0.3</x:v>
      </x:c>
      <x:c r="BD25" s="72" t="str">
        <x:v>0.2</x:v>
      </x:c>
      <x:c r="BE25" s="72" t="str">
        <x:v>0.4</x:v>
      </x:c>
      <x:c r="BF25" s="14" t="str">
        <x:v>1.0</x:v>
      </x:c>
      <x:c r="BG25" s="72" t="str">
        <x:v>1.0</x:v>
      </x:c>
      <x:c r="BH25" s="74" t="str">
        <x:v>2.0</x:v>
      </x:c>
      <x:c r="BI25" s="47" t="str">
        <x:v>Common scenario elasticity + issuer SEC CapEx/CFO dependency scale</x:v>
      </x:c>
      <x:c r="BJ25" s="47" t="str">
        <x:v>Modeled estimate using observed inputs + disclosed assumptions</x:v>
      </x:c>
      <x:c r="BK25" s="14" t="str">
        <x:v>False</x:v>
      </x:c>
      <x:c r="BL25" s="14" t="str">
        <x:v>False</x:v>
      </x:c>
      <x:c r="BM25" s="14" t="str">
        <x:v>False</x:v>
      </x:c>
      <x:c r="BN25" s="47" t="str">
        <x:v>Conditional scenario sensitivity; not a forecast or probability</x:v>
      </x:c>
      <x:c r="BO25" s="66" t="str">
        <x:v>104.3600056157085</x:v>
      </x:c>
    </x:row>
    <x:row r="26">
      <x:c r="A26" s="14" t="str">
        <x:v>XOM</x:v>
      </x:c>
      <x:c r="B26" s="14" t="str">
        <x:v>Energy</x:v>
      </x:c>
      <x:c r="C26" s="14" t="str">
        <x:v>cp_vs_baseline</x:v>
      </x:c>
      <x:c r="D26" s="47" t="str">
        <x:v>Current Policies vs baseline</x:v>
      </x:c>
      <x:c r="E26" s="14" t="str">
        <x:v>CP vs baseline</x:v>
      </x:c>
      <x:c r="F26" s="14" t="str">
        <x:v>current_policies</x:v>
      </x:c>
      <x:c r="G26" s="14" t="str">
        <x:v>baseline</x:v>
      </x:c>
      <x:c r="H26" s="14" t="str">
        <x:v>2050</x:v>
      </x:c>
      <x:c r="I26" s="14" t="str">
        <x:v>low</x:v>
      </x:c>
      <x:c r="J26" s="14" t="str">
        <x:v>True</x:v>
      </x:c>
      <x:c r="K26" s="14" t="str">
        <x:v>CFP-2026-003-R17-20260804T234500Z</x:v>
      </x:c>
      <x:c r="L2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6" s="66" t="str">
        <x:v>-0.6586481433858538</x:v>
      </x:c>
      <x:c r="N26" s="68" t="str">
        <x:v>676608329467.1913</x:v>
      </x:c>
      <x:c r="O26" s="68" t="str">
        <x:v>672151861267.1616</x:v>
      </x:c>
      <x:c r="P26" s="68" t="str">
        <x:v>37562427566.9594</x:v>
      </x:c>
      <x:c r="Q26" s="68" t="str">
        <x:v>37211330440.244995</x:v>
      </x:c>
      <x:c r="R26" s="68" t="str">
        <x:v>-351097126.71440125</x:v>
      </x:c>
      <x:c r="S26" s="68" t="str">
        <x:v>24046905786.56586</x:v>
      </x:c>
      <x:c r="T26" s="66" t="str">
        <x:v>0.025729582754846957</x:v>
      </x:c>
      <x:c r="U26" s="66" t="str">
        <x:v>0.17701071818252448</x:v>
      </x:c>
      <x:c r="V26" s="66" t="str">
        <x:v>0.7319626707715989</x:v>
      </x:c>
      <x:c r="W26" s="68" t="str">
        <x:v>9664655.885570265</x:v>
      </x:c>
      <x:c r="X26" s="68" t="str">
        <x:v>66489522.80306539</x:v>
      </x:c>
      <x:c r="Y26" s="68" t="str">
        <x:v>274942948.02576333</x:v>
      </x:c>
      <x:c r="Z26" s="66" t="str">
        <x:v>-0.019622072047940888</x:v>
      </x:c>
      <x:c r="AA26" s="66" t="str">
        <x:v>-0.14223959751726106</x:v>
      </x:c>
      <x:c r="AB26" s="66" t="str">
        <x:v>-0.4967864738206469</x:v>
      </x:c>
      <x:c r="AC26" s="68" t="str">
        <x:v>9337831.77349784</x:v>
      </x:c>
      <x:c r="AD26" s="68" t="str">
        <x:v>157126.97695789638</x:v>
      </x:c>
      <x:c r="AE26" s="68" t="str">
        <x:v>169697.13511452806</x:v>
      </x:c>
      <x:c r="AF26" s="68" t="str">
        <x:v>45135649.705027394</x:v>
      </x:c>
      <x:c r="AG26" s="68" t="str">
        <x:v>21353873.098038</x:v>
      </x:c>
      <x:c r="AH26" s="70" t="str">
        <x:v>104000000.0</x:v>
      </x:c>
      <x:c r="AI26" s="70" t="str">
        <x:v>7000000.0</x:v>
      </x:c>
      <x:c r="AJ26" s="70" t="str">
        <x:v>630000000.0</x:v>
      </x:c>
      <x:c r="AK26" s="68" t="str">
        <x:v>299373000000.0</x:v>
      </x:c>
      <x:c r="AL26" s="66" t="str">
        <x:v>0.18613243120519987</x:v>
      </x:c>
      <x:c r="AM26" s="70" t="str">
        <x:v>49.0</x:v>
      </x:c>
      <x:c r="AN26" s="70" t="str">
        <x:v>68.0</x:v>
      </x:c>
      <x:c r="AO26" s="66" t="str">
        <x:v>72.05882352941177</x:v>
      </x:c>
      <x:c r="AP26" s="14" t="str">
        <x:v>Medium</x:v>
      </x:c>
      <x:c r="AQ26" s="47" t="str">
        <x:v>Issuer facility-to-FEMA county match</x:v>
      </x:c>
      <x:c r="AR26" s="66" t="str">
        <x:v>0.18613243120519987</x:v>
      </x:c>
      <x:c r="AS26" s="66" t="str">
        <x:v>7.579869737287252</x:v>
      </x:c>
      <x:c r="AT26" s="66" t="str">
        <x:v>0.0</x:v>
      </x:c>
      <x:c r="AU26" s="66" t="str">
        <x:v>5.418008975739499</x:v>
      </x:c>
      <x:c r="AV26" s="66" t="str">
        <x:v>1.7999999999999998</x:v>
      </x:c>
      <x:c r="AW26" s="72" t="str">
        <x:v>0.5</x:v>
      </x:c>
      <x:c r="AX26" s="72" t="str">
        <x:v>0.7</x:v>
      </x:c>
      <x:c r="AY26" s="72" t="str">
        <x:v>0.25</x:v>
      </x:c>
      <x:c r="AZ26" s="72" t="str">
        <x:v>0.0015</x:v>
      </x:c>
      <x:c r="BA26" s="72" t="str">
        <x:v>0.05</x:v>
      </x:c>
      <x:c r="BB26" s="72" t="str">
        <x:v>0.27</x:v>
      </x:c>
      <x:c r="BC26" s="72" t="str">
        <x:v>0.7</x:v>
      </x:c>
      <x:c r="BD26" s="72" t="str">
        <x:v>0.05</x:v>
      </x:c>
      <x:c r="BE26" s="72" t="str">
        <x:v>0.15</x:v>
      </x:c>
      <x:c r="BF26" s="14" t="str">
        <x:v>1.0</x:v>
      </x:c>
      <x:c r="BG26" s="72" t="str">
        <x:v>0.35</x:v>
      </x:c>
      <x:c r="BH26" s="74" t="str">
        <x:v>1.0456609582451413</x:v>
      </x:c>
      <x:c r="BI26" s="47" t="str">
        <x:v>Common scenario elasticity + issuer SEC CapEx/CFO dependency scale</x:v>
      </x:c>
      <x:c r="BJ26" s="47" t="str">
        <x:v>Modeled estimate using observed inputs + disclosed assumptions</x:v>
      </x:c>
      <x:c r="BK26" s="14" t="str">
        <x:v>False</x:v>
      </x:c>
      <x:c r="BL26" s="14" t="str">
        <x:v>False</x:v>
      </x:c>
      <x:c r="BM26" s="14" t="str">
        <x:v>False</x:v>
      </x:c>
      <x:c r="BN26" s="47" t="str">
        <x:v>Conditional scenario sensitivity; not a forecast or probability</x:v>
      </x:c>
      <x:c r="BO26" s="66" t="str">
        <x:v>100.66301507989999</x:v>
      </x:c>
    </x:row>
    <x:row r="27">
      <x:c r="A27" s="14" t="str">
        <x:v>XOM</x:v>
      </x:c>
      <x:c r="B27" s="14" t="str">
        <x:v>Energy</x:v>
      </x:c>
      <x:c r="C27" s="14" t="str">
        <x:v>cp_vs_baseline</x:v>
      </x:c>
      <x:c r="D27" s="47" t="str">
        <x:v>Current Policies vs baseline</x:v>
      </x:c>
      <x:c r="E27" s="14" t="str">
        <x:v>CP vs baseline</x:v>
      </x:c>
      <x:c r="F27" s="14" t="str">
        <x:v>current_policies</x:v>
      </x:c>
      <x:c r="G27" s="14" t="str">
        <x:v>baseline</x:v>
      </x:c>
      <x:c r="H27" s="14" t="str">
        <x:v>2050</x:v>
      </x:c>
      <x:c r="I27" s="14" t="str">
        <x:v>base</x:v>
      </x:c>
      <x:c r="J27" s="14" t="str">
        <x:v>True</x:v>
      </x:c>
      <x:c r="K27" s="14" t="str">
        <x:v>CFP-2026-003-R17-20260804T234500Z</x:v>
      </x:c>
      <x:c r="L2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7" s="66" t="str">
        <x:v>-1.3552362351022418</x:v>
      </x:c>
      <x:c r="N27" s="68" t="str">
        <x:v>676608329467.1913</x:v>
      </x:c>
      <x:c r="O27" s="68" t="str">
        <x:v>667438688216.532</x:v>
      </x:c>
      <x:c r="P27" s="68" t="str">
        <x:v>37562427566.9594</x:v>
      </x:c>
      <x:c r="Q27" s="68" t="str">
        <x:v>36852965864.99589</x:v>
      </x:c>
      <x:c r="R27" s="68" t="str">
        <x:v>-709461701.9635086</x:v>
      </x:c>
      <x:c r="S27" s="68" t="str">
        <x:v>24046905786.56586</x:v>
      </x:c>
      <x:c r="T27" s="66" t="str">
        <x:v>0.11068121759591791</x:v>
      </x:c>
      <x:c r="U27" s="66" t="str">
        <x:v>0.5232792299679315</x:v>
      </x:c>
      <x:c r="V27" s="66" t="str">
        <x:v>1.2547931498941696</x:v>
      </x:c>
      <x:c r="W27" s="68" t="str">
        <x:v>41574552.18969538</x:v>
      </x:c>
      <x:c r="X27" s="68" t="str">
        <x:v>196556381.72964716</x:v>
      </x:c>
      <x:c r="Y27" s="68" t="str">
        <x:v>471330768.0441657</x:v>
      </x:c>
      <x:c r="Z27" s="66" t="str">
        <x:v>-0.07806418624761988</x:v>
      </x:c>
      <x:c r="AA27" s="66" t="str">
        <x:v>-0.42553809373351953</x:v>
      </x:c>
      <x:c r="AB27" s="66" t="str">
        <x:v>-0.8516339551210974</x:v>
      </x:c>
      <x:c r="AC27" s="68" t="str">
        <x:v>39299703.94226795</x:v>
      </x:c>
      <x:c r="AD27" s="68" t="str">
        <x:v>1322586.1903647864</x:v>
      </x:c>
      <x:c r="AE27" s="68" t="str">
        <x:v>952262.0570626463</x:v>
      </x:c>
      <x:c r="AF27" s="68" t="str">
        <x:v>125376804.73618717</x:v>
      </x:c>
      <x:c r="AG27" s="68" t="str">
        <x:v>71179576.99346</x:v>
      </x:c>
      <x:c r="AH27" s="70" t="str">
        <x:v>104000000.0</x:v>
      </x:c>
      <x:c r="AI27" s="70" t="str">
        <x:v>7000000.0</x:v>
      </x:c>
      <x:c r="AJ27" s="70" t="str">
        <x:v>630000000.0</x:v>
      </x:c>
      <x:c r="AK27" s="68" t="str">
        <x:v>299373000000.0</x:v>
      </x:c>
      <x:c r="AL27" s="66" t="str">
        <x:v>0.18613243120519987</x:v>
      </x:c>
      <x:c r="AM27" s="70" t="str">
        <x:v>49.0</x:v>
      </x:c>
      <x:c r="AN27" s="70" t="str">
        <x:v>68.0</x:v>
      </x:c>
      <x:c r="AO27" s="66" t="str">
        <x:v>72.05882352941177</x:v>
      </x:c>
      <x:c r="AP27" s="14" t="str">
        <x:v>Medium</x:v>
      </x:c>
      <x:c r="AQ27" s="47" t="str">
        <x:v>Issuer facility-to-FEMA county match</x:v>
      </x:c>
      <x:c r="AR27" s="66" t="str">
        <x:v>0.18613243120519987</x:v>
      </x:c>
      <x:c r="AS27" s="66" t="str">
        <x:v>7.579869737287252</x:v>
      </x:c>
      <x:c r="AT27" s="66" t="str">
        <x:v>0.0</x:v>
      </x:c>
      <x:c r="AU27" s="66" t="str">
        <x:v>5.418008975739499</x:v>
      </x:c>
      <x:c r="AV27" s="66" t="str">
        <x:v>1.7999999999999998</x:v>
      </x:c>
      <x:c r="AW27" s="72" t="str">
        <x:v>0.75</x:v>
      </x:c>
      <x:c r="AX27" s="72" t="str">
        <x:v>0.5</x:v>
      </x:c>
      <x:c r="AY27" s="72" t="str">
        <x:v>0.5</x:v>
      </x:c>
      <x:c r="AZ27" s="72" t="str">
        <x:v>0.003</x:v>
      </x:c>
      <x:c r="BA27" s="72" t="str">
        <x:v>0.03</x:v>
      </x:c>
      <x:c r="BB27" s="72" t="str">
        <x:v>0.45</x:v>
      </x:c>
      <x:c r="BC27" s="72" t="str">
        <x:v>0.5</x:v>
      </x:c>
      <x:c r="BD27" s="72" t="str">
        <x:v>0.1</x:v>
      </x:c>
      <x:c r="BE27" s="72" t="str">
        <x:v>0.25</x:v>
      </x:c>
      <x:c r="BF27" s="14" t="str">
        <x:v>1.0</x:v>
      </x:c>
      <x:c r="BG27" s="72" t="str">
        <x:v>0.6</x:v>
      </x:c>
      <x:c r="BH27" s="74" t="str">
        <x:v>1.0456609582451413</x:v>
      </x:c>
      <x:c r="BI27" s="47" t="str">
        <x:v>Common scenario elasticity + issuer SEC CapEx/CFO dependency scale</x:v>
      </x:c>
      <x:c r="BJ27" s="47" t="str">
        <x:v>Modeled estimate using observed inputs + disclosed assumptions</x:v>
      </x:c>
      <x:c r="BK27" s="14" t="str">
        <x:v>False</x:v>
      </x:c>
      <x:c r="BL27" s="14" t="str">
        <x:v>False</x:v>
      </x:c>
      <x:c r="BM27" s="14" t="str">
        <x:v>False</x:v>
      </x:c>
      <x:c r="BN27" s="47" t="str">
        <x:v>Conditional scenario sensitivity; not a forecast or probability</x:v>
      </x:c>
      <x:c r="BO27" s="66" t="str">
        <x:v>101.37385521884588</x:v>
      </x:c>
    </x:row>
    <x:row r="28">
      <x:c r="A28" s="14" t="str">
        <x:v>XOM</x:v>
      </x:c>
      <x:c r="B28" s="14" t="str">
        <x:v>Energy</x:v>
      </x:c>
      <x:c r="C28" s="14" t="str">
        <x:v>cp_vs_baseline</x:v>
      </x:c>
      <x:c r="D28" s="47" t="str">
        <x:v>Current Policies vs baseline</x:v>
      </x:c>
      <x:c r="E28" s="14" t="str">
        <x:v>CP vs baseline</x:v>
      </x:c>
      <x:c r="F28" s="14" t="str">
        <x:v>current_policies</x:v>
      </x:c>
      <x:c r="G28" s="14" t="str">
        <x:v>baseline</x:v>
      </x:c>
      <x:c r="H28" s="14" t="str">
        <x:v>2050</x:v>
      </x:c>
      <x:c r="I28" s="14" t="str">
        <x:v>high</x:v>
      </x:c>
      <x:c r="J28" s="14" t="str">
        <x:v>True</x:v>
      </x:c>
      <x:c r="K28" s="14" t="str">
        <x:v>CFP-2026-003-R17-20260804T234500Z</x:v>
      </x:c>
      <x:c r="L2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8" s="66" t="str">
        <x:v>-2.6965633118586685</x:v>
      </x:c>
      <x:c r="N28" s="68" t="str">
        <x:v>676608329467.1913</x:v>
      </x:c>
      <x:c r="O28" s="68" t="str">
        <x:v>658363157489.7992</x:v>
      </x:c>
      <x:c r="P28" s="68" t="str">
        <x:v>37562427566.9594</x:v>
      </x:c>
      <x:c r="Q28" s="68" t="str">
        <x:v>36179337989.60489</x:v>
      </x:c>
      <x:c r="R28" s="68" t="str">
        <x:v>-1383089577.3545074</x:v>
      </x:c>
      <x:c r="S28" s="68" t="str">
        <x:v>24046905786.56586</x:v>
      </x:c>
      <x:c r="T28" s="66" t="str">
        <x:v>0.3535487415282122</x:v>
      </x:c>
      <x:c r="U28" s="66" t="str">
        <x:v>1.2372384785355481</x:v>
      </x:c>
      <x:c r="V28" s="66" t="str">
        <x:v>2.0913219164902825</x:v>
      </x:c>
      <x:c r="W28" s="68" t="str">
        <x:v>132801489.9504312</x:v>
      </x:c>
      <x:c r="X28" s="68" t="str">
        <x:v>464736807.33046573</x:v>
      </x:c>
      <x:c r="Y28" s="68" t="str">
        <x:v>785551280.0736095</x:v>
      </x:c>
      <x:c r="Z28" s="66" t="str">
        <x:v>-0.23374151854871805</x:v>
      </x:c>
      <x:c r="AA28" s="66" t="str">
        <x:v>-1.043431868108119</x:v>
      </x:c>
      <x:c r="AB28" s="66" t="str">
        <x:v>-1.419389925201829</x:v>
      </x:c>
      <x:c r="AC28" s="68" t="str">
        <x:v>122191939.79337206</x:v>
      </x:c>
      <x:c r="AD28" s="68" t="str">
        <x:v>6168343.1145692635</x:v>
      </x:c>
      <x:c r="AE28" s="68" t="str">
        <x:v>4441207.0424898695</x:v>
      </x:c>
      <x:c r="AF28" s="68" t="str">
        <x:v>236962160.95139372</x:v>
      </x:c>
      <x:c r="AG28" s="68" t="str">
        <x:v>227774646.379072</x:v>
      </x:c>
      <x:c r="AH28" s="70" t="str">
        <x:v>104000000.0</x:v>
      </x:c>
      <x:c r="AI28" s="70" t="str">
        <x:v>7000000.0</x:v>
      </x:c>
      <x:c r="AJ28" s="70" t="str">
        <x:v>630000000.0</x:v>
      </x:c>
      <x:c r="AK28" s="68" t="str">
        <x:v>299373000000.0</x:v>
      </x:c>
      <x:c r="AL28" s="66" t="str">
        <x:v>0.18613243120519987</x:v>
      </x:c>
      <x:c r="AM28" s="70" t="str">
        <x:v>49.0</x:v>
      </x:c>
      <x:c r="AN28" s="70" t="str">
        <x:v>68.0</x:v>
      </x:c>
      <x:c r="AO28" s="66" t="str">
        <x:v>72.05882352941177</x:v>
      </x:c>
      <x:c r="AP28" s="14" t="str">
        <x:v>Medium</x:v>
      </x:c>
      <x:c r="AQ28" s="47" t="str">
        <x:v>Issuer facility-to-FEMA county match</x:v>
      </x:c>
      <x:c r="AR28" s="66" t="str">
        <x:v>0.18613243120519987</x:v>
      </x:c>
      <x:c r="AS28" s="66" t="str">
        <x:v>7.579869737287252</x:v>
      </x:c>
      <x:c r="AT28" s="66" t="str">
        <x:v>0.0</x:v>
      </x:c>
      <x:c r="AU28" s="66" t="str">
        <x:v>5.418008975739499</x:v>
      </x:c>
      <x:c r="AV28" s="66" t="str">
        <x:v>1.7999999999999998</x:v>
      </x:c>
      <x:c r="AW28" s="72" t="str">
        <x:v>1.0</x:v>
      </x:c>
      <x:c r="AX28" s="72" t="str">
        <x:v>0.3</x:v>
      </x:c>
      <x:c r="AY28" s="72" t="str">
        <x:v>0.75</x:v>
      </x:c>
      <x:c r="AZ28" s="72" t="str">
        <x:v>0.006</x:v>
      </x:c>
      <x:c r="BA28" s="72" t="str">
        <x:v>0.01</x:v>
      </x:c>
      <x:c r="BB28" s="72" t="str">
        <x:v>0.6075</x:v>
      </x:c>
      <x:c r="BC28" s="72" t="str">
        <x:v>0.3</x:v>
      </x:c>
      <x:c r="BD28" s="72" t="str">
        <x:v>0.2</x:v>
      </x:c>
      <x:c r="BE28" s="72" t="str">
        <x:v>0.4</x:v>
      </x:c>
      <x:c r="BF28" s="14" t="str">
        <x:v>1.0</x:v>
      </x:c>
      <x:c r="BG28" s="72" t="str">
        <x:v>1.0</x:v>
      </x:c>
      <x:c r="BH28" s="74" t="str">
        <x:v>1.0456609582451413</x:v>
      </x:c>
      <x:c r="BI28" s="47" t="str">
        <x:v>Common scenario elasticity + issuer SEC CapEx/CFO dependency scale</x:v>
      </x:c>
      <x:c r="BJ28" s="47" t="str">
        <x:v>Modeled estimate using observed inputs + disclosed assumptions</x:v>
      </x:c>
      <x:c r="BK28" s="14" t="str">
        <x:v>False</x:v>
      </x:c>
      <x:c r="BL28" s="14" t="str">
        <x:v>False</x:v>
      </x:c>
      <x:c r="BM28" s="14" t="str">
        <x:v>False</x:v>
      </x:c>
      <x:c r="BN28" s="47" t="str">
        <x:v>Conditional scenario sensitivity; not a forecast or probability</x:v>
      </x:c>
      <x:c r="BO28" s="66" t="str">
        <x:v>102.7712929816664</x:v>
      </x:c>
    </x:row>
    <x:row r="29">
      <x:c r="A29" s="14" t="str">
        <x:v>AAPL</x:v>
      </x:c>
      <x:c r="B29" s="14" t="str">
        <x:v>Technology</x:v>
      </x:c>
      <x:c r="C29" s="14" t="str">
        <x:v>nz_vs_baseline</x:v>
      </x:c>
      <x:c r="D29" s="47" t="str">
        <x:v>Net Zero 2050 vs baseline</x:v>
      </x:c>
      <x:c r="E29" s="14" t="str">
        <x:v>Net Zero vs baseline</x:v>
      </x:c>
      <x:c r="F29" s="14" t="str">
        <x:v>net_zero_2050</x:v>
      </x:c>
      <x:c r="G29" s="14" t="str">
        <x:v>baseline</x:v>
      </x:c>
      <x:c r="H29" s="14" t="str">
        <x:v>2050</x:v>
      </x:c>
      <x:c r="I29" s="14" t="str">
        <x:v>low</x:v>
      </x:c>
      <x:c r="J29" s="14" t="str">
        <x:v>True</x:v>
      </x:c>
      <x:c r="K29" s="14" t="str">
        <x:v>CFP-2026-003-R17-20260804T234500Z</x:v>
      </x:c>
      <x:c r="L2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29" s="66" t="str">
        <x:v>-0.3859086664993905</x:v>
      </x:c>
      <x:c r="N29" s="68" t="str">
        <x:v>1511832209193.6655</x:v>
      </x:c>
      <x:c r="O29" s="68" t="str">
        <x:v>1505997917675.458</x:v>
      </x:c>
      <x:c r="P29" s="68" t="str">
        <x:v>190556654157.15817</x:v>
      </x:c>
      <x:c r="Q29" s="68" t="str">
        <x:v>189215511260.90463</x:v>
      </x:c>
      <x:c r="R29" s="68" t="str">
        <x:v>-1341142896.25354</x:v>
      </x:c>
      <x:c r="S29" s="68" t="str">
        <x:v>102784466009.31221</x:v>
      </x:c>
      <x:c r="T29" s="66" t="str">
        <x:v>0.00639059556162659</x:v>
      </x:c>
      <x:c r="U29" s="66" t="str">
        <x:v>0.05265511341841229</x:v>
      </x:c>
      <x:c r="V29" s="66" t="str">
        <x:v>0.6447570011302273</x:v>
      </x:c>
      <x:c r="W29" s="68" t="str">
        <x:v>12177705.08295148</x:v>
      </x:c>
      <x:c r="X29" s="68" t="str">
        <x:v>100337822.37278329</x:v>
      </x:c>
      <x:c r="Y29" s="68" t="str">
        <x:v>1228627368.7977915</x:v>
      </x:c>
      <x:c r="Z29" s="66" t="str">
        <x:v>-0.006833811051098116</x:v>
      </x:c>
      <x:c r="AA29" s="66" t="str">
        <x:v>-0.05218566849905739</x:v>
      </x:c>
      <x:c r="AB29" s="66" t="str">
        <x:v>-0.32688918694923297</x:v>
      </x:c>
      <x:c r="AC29" s="68" t="str">
        <x:v>1876500.3017068089</x:v>
      </x:c>
      <x:c r="AD29" s="68" t="str">
        <x:v>28045.520813552852</x:v>
      </x:c>
      <x:c r="AE29" s="68" t="str">
        <x:v>10273159.260431118</x:v>
      </x:c>
      <x:c r="AF29" s="68" t="str">
        <x:v>979945.7936729663</x:v>
      </x:c>
      <x:c r="AG29" s="68" t="str">
        <x:v>99357876.57911032</x:v>
      </x:c>
      <x:c r="AH29" s="70" t="str">
        <x:v>55200.0</x:v>
      </x:c>
      <x:c r="AI29" s="70" t="str">
        <x:v>3300.0</x:v>
      </x:c>
      <x:c r="AJ29" s="70" t="str">
        <x:v>15110000.0</x:v>
      </x:c>
      <x:c r="AK29" s="68" t="str">
        <x:v>50159000000.0</x:v>
      </x:c>
      <x:c r="AL29" s="66" t="str">
        <x:v>0.18089619337783003</x:v>
      </x:c>
      <x:c r="AM29" s="70" t="str">
        <x:v>0.0</x:v>
      </x:c>
      <x:c r="AN29" s="70" t="str">
        <x:v>0.0</x:v>
      </x:c>
      <x:c r="AO29" s="66" t="str"/>
      <x:c r="AP29" s="14" t="str">
        <x:v>Unverified</x:v>
      </x:c>
      <x:c r="AQ29" s="47" t="str">
        <x:v>Proxy fallback; no issuer facilities in governed match file</x:v>
      </x:c>
      <x:c r="AR29" s="66" t="str"/>
      <x:c r="AS29" s="66" t="str">
        <x:v>6.952114548720453</x:v>
      </x:c>
      <x:c r="AT29" s="66" t="str">
        <x:v>0.0</x:v>
      </x:c>
      <x:c r="AU29" s="66" t="str">
        <x:v>9.468635607765986</x:v>
      </x:c>
      <x:c r="AV29" s="66" t="str">
        <x:v>2.5</x:v>
      </x:c>
      <x:c r="AW29" s="72" t="str">
        <x:v>0.5</x:v>
      </x:c>
      <x:c r="AX29" s="72" t="str">
        <x:v>0.7</x:v>
      </x:c>
      <x:c r="AY29" s="72" t="str">
        <x:v>0.25</x:v>
      </x:c>
      <x:c r="AZ29" s="72" t="str">
        <x:v>0.01</x:v>
      </x:c>
      <x:c r="BA29" s="72" t="str">
        <x:v>0.05</x:v>
      </x:c>
      <x:c r="BB29" s="72" t="str">
        <x:v>0.06</x:v>
      </x:c>
      <x:c r="BC29" s="72" t="str">
        <x:v>0.7</x:v>
      </x:c>
      <x:c r="BD29" s="72" t="str">
        <x:v>0.05</x:v>
      </x:c>
      <x:c r="BE29" s="72" t="str">
        <x:v>0.15</x:v>
      </x:c>
      <x:c r="BF29" s="14" t="str">
        <x:v>0.6</x:v>
      </x:c>
      <x:c r="BG29" s="72" t="str">
        <x:v>0.35</x:v>
      </x:c>
      <x:c r="BH29" s="74" t="str">
        <x:v>0.6140542867906926</x:v>
      </x:c>
      <x:c r="BI29" s="47" t="str">
        <x:v>Common scenario elasticity + issuer SEC CapEx/CFO dependency scale</x:v>
      </x:c>
      <x:c r="BJ29" s="47" t="str">
        <x:v>Modeled estimate using observed inputs + disclosed assumptions</x:v>
      </x:c>
      <x:c r="BK29" s="14" t="str">
        <x:v>False</x:v>
      </x:c>
      <x:c r="BL29" s="14" t="str">
        <x:v>False</x:v>
      </x:c>
      <x:c r="BM29" s="14" t="str">
        <x:v>False</x:v>
      </x:c>
      <x:c r="BN29" s="47" t="str">
        <x:v>Conditional scenario sensitivity; not a forecast or probability</x:v>
      </x:c>
      <x:c r="BO29" s="66" t="str">
        <x:v>100.38740369091697</x:v>
      </x:c>
    </x:row>
    <x:row r="30">
      <x:c r="A30" s="14" t="str">
        <x:v>AAPL</x:v>
      </x:c>
      <x:c r="B30" s="14" t="str">
        <x:v>Technology</x:v>
      </x:c>
      <x:c r="C30" s="14" t="str">
        <x:v>nz_vs_baseline</x:v>
      </x:c>
      <x:c r="D30" s="47" t="str">
        <x:v>Net Zero 2050 vs baseline</x:v>
      </x:c>
      <x:c r="E30" s="14" t="str">
        <x:v>Net Zero vs baseline</x:v>
      </x:c>
      <x:c r="F30" s="14" t="str">
        <x:v>net_zero_2050</x:v>
      </x:c>
      <x:c r="G30" s="14" t="str">
        <x:v>baseline</x:v>
      </x:c>
      <x:c r="H30" s="14" t="str">
        <x:v>2050</x:v>
      </x:c>
      <x:c r="I30" s="14" t="str">
        <x:v>base</x:v>
      </x:c>
      <x:c r="J30" s="14" t="str">
        <x:v>True</x:v>
      </x:c>
      <x:c r="K30" s="14" t="str">
        <x:v>CFP-2026-003-R17-20260804T234500Z</x:v>
      </x:c>
      <x:c r="L3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0" s="66" t="str">
        <x:v>-0.7632775915896506</x:v>
      </x:c>
      <x:c r="N30" s="68" t="str">
        <x:v>1511832209193.6655</x:v>
      </x:c>
      <x:c r="O30" s="68" t="str">
        <x:v>1500292732718.4556</x:v>
      </x:c>
      <x:c r="P30" s="68" t="str">
        <x:v>190556654157.15817</x:v>
      </x:c>
      <x:c r="Q30" s="68" t="str">
        <x:v>188050738976.85986</x:v>
      </x:c>
      <x:c r="R30" s="68" t="str">
        <x:v>-2505915180.2983093</x:v>
      </x:c>
      <x:c r="S30" s="68" t="str">
        <x:v>102784466009.31221</x:v>
      </x:c>
      <x:c r="T30" s="66" t="str">
        <x:v>0.03452088330334466</x:v>
      </x:c>
      <x:c r="U30" s="66" t="str">
        <x:v>0.17523134789303604</x:v>
      </x:c>
      <x:c r="V30" s="66" t="str">
        <x:v>1.1052977162232465</x:v>
      </x:c>
      <x:c r="W30" s="68" t="str">
        <x:v>65781840.20835063</x:v>
      </x:c>
      <x:c r="X30" s="68" t="str">
        <x:v>333914993.57945937</x:v>
      </x:c>
      <x:c r="Y30" s="68" t="str">
        <x:v>2106218346.5104995</x:v>
      </x:c>
      <x:c r="Z30" s="66" t="str">
        <x:v>-0.02911701107759182</x:v>
      </x:c>
      <x:c r="AA30" s="66" t="str">
        <x:v>-0.1737791171704774</x:v>
      </x:c>
      <x:c r="AB30" s="66" t="str">
        <x:v>-0.5603814633415775</x:v>
      </x:c>
      <x:c r="AC30" s="68" t="str">
        <x:v>7897540.681119994</x:v>
      </x:c>
      <x:c r="AD30" s="68" t="str">
        <x:v>236067.79209869547</x:v>
      </x:c>
      <x:c r="AE30" s="68" t="str">
        <x:v>57648231.73513194</x:v>
      </x:c>
      <x:c r="AF30" s="68" t="str">
        <x:v>2722071.649091573</x:v>
      </x:c>
      <x:c r="AG30" s="68" t="str">
        <x:v>331192921.93036777</x:v>
      </x:c>
      <x:c r="AH30" s="70" t="str">
        <x:v>55200.0</x:v>
      </x:c>
      <x:c r="AI30" s="70" t="str">
        <x:v>3300.0</x:v>
      </x:c>
      <x:c r="AJ30" s="70" t="str">
        <x:v>15110000.0</x:v>
      </x:c>
      <x:c r="AK30" s="68" t="str">
        <x:v>50159000000.0</x:v>
      </x:c>
      <x:c r="AL30" s="66" t="str">
        <x:v>0.18089619337783003</x:v>
      </x:c>
      <x:c r="AM30" s="70" t="str">
        <x:v>0.0</x:v>
      </x:c>
      <x:c r="AN30" s="70" t="str">
        <x:v>0.0</x:v>
      </x:c>
      <x:c r="AO30" s="66" t="str"/>
      <x:c r="AP30" s="14" t="str">
        <x:v>Unverified</x:v>
      </x:c>
      <x:c r="AQ30" s="47" t="str">
        <x:v>Proxy fallback; no issuer facilities in governed match file</x:v>
      </x:c>
      <x:c r="AR30" s="66" t="str"/>
      <x:c r="AS30" s="66" t="str">
        <x:v>6.952114548720453</x:v>
      </x:c>
      <x:c r="AT30" s="66" t="str">
        <x:v>0.0</x:v>
      </x:c>
      <x:c r="AU30" s="66" t="str">
        <x:v>9.468635607765986</x:v>
      </x:c>
      <x:c r="AV30" s="66" t="str">
        <x:v>2.5</x:v>
      </x:c>
      <x:c r="AW30" s="72" t="str">
        <x:v>0.75</x:v>
      </x:c>
      <x:c r="AX30" s="72" t="str">
        <x:v>0.5</x:v>
      </x:c>
      <x:c r="AY30" s="72" t="str">
        <x:v>0.5</x:v>
      </x:c>
      <x:c r="AZ30" s="72" t="str">
        <x:v>0.02</x:v>
      </x:c>
      <x:c r="BA30" s="72" t="str">
        <x:v>0.03</x:v>
      </x:c>
      <x:c r="BB30" s="72" t="str">
        <x:v>0.1</x:v>
      </x:c>
      <x:c r="BC30" s="72" t="str">
        <x:v>0.5</x:v>
      </x:c>
      <x:c r="BD30" s="72" t="str">
        <x:v>0.1</x:v>
      </x:c>
      <x:c r="BE30" s="72" t="str">
        <x:v>0.25</x:v>
      </x:c>
      <x:c r="BF30" s="14" t="str">
        <x:v>0.6</x:v>
      </x:c>
      <x:c r="BG30" s="72" t="str">
        <x:v>0.6</x:v>
      </x:c>
      <x:c r="BH30" s="74" t="str">
        <x:v>0.6140542867906926</x:v>
      </x:c>
      <x:c r="BI30" s="47" t="str">
        <x:v>Common scenario elasticity + issuer SEC CapEx/CFO dependency scale</x:v>
      </x:c>
      <x:c r="BJ30" s="47" t="str">
        <x:v>Modeled estimate using observed inputs + disclosed assumptions</x:v>
      </x:c>
      <x:c r="BK30" s="14" t="str">
        <x:v>False</x:v>
      </x:c>
      <x:c r="BL30" s="14" t="str">
        <x:v>False</x:v>
      </x:c>
      <x:c r="BM30" s="14" t="str">
        <x:v>False</x:v>
      </x:c>
      <x:c r="BN30" s="47" t="str">
        <x:v>Conditional scenario sensitivity; not a forecast or probability</x:v>
      </x:c>
      <x:c r="BO30" s="66" t="str">
        <x:v>100.76914832842661</x:v>
      </x:c>
    </x:row>
    <x:row r="31">
      <x:c r="A31" s="14" t="str">
        <x:v>AAPL</x:v>
      </x:c>
      <x:c r="B31" s="14" t="str">
        <x:v>Technology</x:v>
      </x:c>
      <x:c r="C31" s="14" t="str">
        <x:v>nz_vs_baseline</x:v>
      </x:c>
      <x:c r="D31" s="47" t="str">
        <x:v>Net Zero 2050 vs baseline</x:v>
      </x:c>
      <x:c r="E31" s="14" t="str">
        <x:v>Net Zero vs baseline</x:v>
      </x:c>
      <x:c r="F31" s="14" t="str">
        <x:v>net_zero_2050</x:v>
      </x:c>
      <x:c r="G31" s="14" t="str">
        <x:v>baseline</x:v>
      </x:c>
      <x:c r="H31" s="14" t="str">
        <x:v>2050</x:v>
      </x:c>
      <x:c r="I31" s="14" t="str">
        <x:v>high</x:v>
      </x:c>
      <x:c r="J31" s="14" t="str">
        <x:v>True</x:v>
      </x:c>
      <x:c r="K31" s="14" t="str">
        <x:v>CFP-2026-003-R17-20260804T234500Z</x:v>
      </x:c>
      <x:c r="L3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1" s="66" t="str">
        <x:v>-1.5952819402176743</x:v>
      </x:c>
      <x:c r="N31" s="68" t="str">
        <x:v>1511832209193.6655</x:v>
      </x:c>
      <x:c r="O31" s="68" t="str">
        <x:v>1487714222994.0051</x:v>
      </x:c>
      <x:c r="P31" s="68" t="str">
        <x:v>190556654157.15817</x:v>
      </x:c>
      <x:c r="Q31" s="68" t="str">
        <x:v>185686809216.9918</x:v>
      </x:c>
      <x:c r="R31" s="68" t="str">
        <x:v>-4869844940.166382</x:v>
      </x:c>
      <x:c r="S31" s="68" t="str">
        <x:v>102784466009.31221</x:v>
      </x:c>
      <x:c r="T31" s="66" t="str">
        <x:v>0.1545571657018605</x:v>
      </x:c>
      <x:c r="U31" s="66" t="str">
        <x:v>0.558868998988433</x:v>
      </x:c>
      <x:c r="V31" s="66" t="str">
        <x:v>1.8421628603720777</x:v>
      </x:c>
      <x:c r="W31" s="68" t="str">
        <x:v>294518963.72160023</x:v>
      </x:c>
      <x:c r="X31" s="68" t="str">
        <x:v>1064962065.59396</x:v>
      </x:c>
      <x:c r="Y31" s="68" t="str">
        <x:v>3510363910.8508325</x:v>
      </x:c>
      <x:c r="Z31" s="66" t="str">
        <x:v>-0.10635353779865103</x:v>
      </x:c>
      <x:c r="AA31" s="66" t="str">
        <x:v>-0.554959296849707</x:v>
      </x:c>
      <x:c r="AB31" s="66" t="str">
        <x:v>-0.9339691055693138</x:v>
      </x:c>
      <x:c r="AC31" s="68" t="str">
        <x:v>24555294.78900779</x:v>
      </x:c>
      <x:c r="AD31" s="68" t="str">
        <x:v>1100984.6848332298</x:v>
      </x:c>
      <x:c r="AE31" s="68" t="str">
        <x:v>268862684.2477592</x:v>
      </x:c>
      <x:c r="AF31" s="68" t="str">
        <x:v>5144715.416783072</x:v>
      </x:c>
      <x:c r="AG31" s="68" t="str">
        <x:v>1059817350.177177</x:v>
      </x:c>
      <x:c r="AH31" s="70" t="str">
        <x:v>55200.0</x:v>
      </x:c>
      <x:c r="AI31" s="70" t="str">
        <x:v>3300.0</x:v>
      </x:c>
      <x:c r="AJ31" s="70" t="str">
        <x:v>15110000.0</x:v>
      </x:c>
      <x:c r="AK31" s="68" t="str">
        <x:v>50159000000.0</x:v>
      </x:c>
      <x:c r="AL31" s="66" t="str">
        <x:v>0.18089619337783003</x:v>
      </x:c>
      <x:c r="AM31" s="70" t="str">
        <x:v>0.0</x:v>
      </x:c>
      <x:c r="AN31" s="70" t="str">
        <x:v>0.0</x:v>
      </x:c>
      <x:c r="AO31" s="66" t="str"/>
      <x:c r="AP31" s="14" t="str">
        <x:v>Unverified</x:v>
      </x:c>
      <x:c r="AQ31" s="47" t="str">
        <x:v>Proxy fallback; no issuer facilities in governed match file</x:v>
      </x:c>
      <x:c r="AR31" s="66" t="str"/>
      <x:c r="AS31" s="66" t="str">
        <x:v>6.952114548720453</x:v>
      </x:c>
      <x:c r="AT31" s="66" t="str">
        <x:v>0.0</x:v>
      </x:c>
      <x:c r="AU31" s="66" t="str">
        <x:v>9.468635607765986</x:v>
      </x:c>
      <x:c r="AV31" s="66" t="str">
        <x:v>2.5</x:v>
      </x:c>
      <x:c r="AW31" s="72" t="str">
        <x:v>1.0</x:v>
      </x:c>
      <x:c r="AX31" s="72" t="str">
        <x:v>0.3</x:v>
      </x:c>
      <x:c r="AY31" s="72" t="str">
        <x:v>0.75</x:v>
      </x:c>
      <x:c r="AZ31" s="72" t="str">
        <x:v>0.04</x:v>
      </x:c>
      <x:c r="BA31" s="72" t="str">
        <x:v>0.01</x:v>
      </x:c>
      <x:c r="BB31" s="72" t="str">
        <x:v>0.135</x:v>
      </x:c>
      <x:c r="BC31" s="72" t="str">
        <x:v>0.3</x:v>
      </x:c>
      <x:c r="BD31" s="72" t="str">
        <x:v>0.2</x:v>
      </x:c>
      <x:c r="BE31" s="72" t="str">
        <x:v>0.4</x:v>
      </x:c>
      <x:c r="BF31" s="14" t="str">
        <x:v>0.6</x:v>
      </x:c>
      <x:c r="BG31" s="72" t="str">
        <x:v>1.0</x:v>
      </x:c>
      <x:c r="BH31" s="74" t="str">
        <x:v>0.6140542867906926</x:v>
      </x:c>
      <x:c r="BI31" s="47" t="str">
        <x:v>Common scenario elasticity + issuer SEC CapEx/CFO dependency scale</x:v>
      </x:c>
      <x:c r="BJ31" s="47" t="str">
        <x:v>Modeled estimate using observed inputs + disclosed assumptions</x:v>
      </x:c>
      <x:c r="BK31" s="14" t="str">
        <x:v>False</x:v>
      </x:c>
      <x:c r="BL31" s="14" t="str">
        <x:v>False</x:v>
      </x:c>
      <x:c r="BM31" s="14" t="str">
        <x:v>False</x:v>
      </x:c>
      <x:c r="BN31" s="47" t="str">
        <x:v>Conditional scenario sensitivity; not a forecast or probability</x:v>
      </x:c>
      <x:c r="BO31" s="66" t="str">
        <x:v>101.62114375374615</x:v>
      </x:c>
    </x:row>
    <x:row r="32">
      <x:c r="A32" s="14" t="str">
        <x:v>CAT</x:v>
      </x:c>
      <x:c r="B32" s="14" t="str">
        <x:v>Industrials</x:v>
      </x:c>
      <x:c r="C32" s="14" t="str">
        <x:v>nz_vs_baseline</x:v>
      </x:c>
      <x:c r="D32" s="47" t="str">
        <x:v>Net Zero 2050 vs baseline</x:v>
      </x:c>
      <x:c r="E32" s="14" t="str">
        <x:v>Net Zero vs baseline</x:v>
      </x:c>
      <x:c r="F32" s="14" t="str">
        <x:v>net_zero_2050</x:v>
      </x:c>
      <x:c r="G32" s="14" t="str">
        <x:v>baseline</x:v>
      </x:c>
      <x:c r="H32" s="14" t="str">
        <x:v>2050</x:v>
      </x:c>
      <x:c r="I32" s="14" t="str">
        <x:v>low</x:v>
      </x:c>
      <x:c r="J32" s="14" t="str">
        <x:v>True</x:v>
      </x:c>
      <x:c r="K32" s="14" t="str">
        <x:v>CFP-2026-003-R17-20260804T234500Z</x:v>
      </x:c>
      <x:c r="L3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2" s="66" t="str">
        <x:v>-1.5881178280016117</x:v>
      </x:c>
      <x:c r="N32" s="68" t="str">
        <x:v>121641418108.2752</x:v>
      </x:c>
      <x:c r="O32" s="68" t="str">
        <x:v>119709609061.0637</x:v>
      </x:c>
      <x:c r="P32" s="68" t="str">
        <x:v>18326479866.126686</x:v>
      </x:c>
      <x:c r="Q32" s="68" t="str">
        <x:v>17960045788.16135</x:v>
      </x:c>
      <x:c r="R32" s="68" t="str">
        <x:v>-366434077.96533585</x:v>
      </x:c>
      <x:c r="S32" s="68" t="str">
        <x:v>10636693843.707409</x:v>
      </x:c>
      <x:c r="T32" s="66" t="str">
        <x:v>1.1672227159060065</x:v>
      </x:c>
      <x:c r="U32" s="66" t="str">
        <x:v>0.05493049318161596</x:v>
      </x:c>
      <x:c r="V32" s="66" t="str">
        <x:v>0.7773255813953486</x:v>
      </x:c>
      <x:c r="W32" s="68" t="str">
        <x:v>213910836.02337134</x:v>
      </x:c>
      <x:c r="X32" s="68" t="str">
        <x:v>10066825.773292942</x:v>
      </x:c>
      <x:c r="Y32" s="68" t="str">
        <x:v>142456416.16867077</x:v>
      </x:c>
      <x:c r="Z32" s="66" t="str">
        <x:v>-1.1957269511187527</x:v>
      </x:c>
      <x:c r="AA32" s="66" t="str">
        <x:v>-0.053270879368795175</x:v>
      </x:c>
      <x:c r="AB32" s="66" t="str">
        <x:v>-0.33911999751406596</x:v>
      </x:c>
      <x:c r="AC32" s="68" t="str">
        <x:v>23116308.064504173</x:v>
      </x:c>
      <x:c r="AD32" s="68" t="str">
        <x:v>5864063.442833778</x:v>
      </x:c>
      <x:c r="AE32" s="68" t="str">
        <x:v>184930464.51603338</x:v>
      </x:c>
      <x:c r="AF32" s="68" t="str">
        <x:v>511241.72548305546</x:v>
      </x:c>
      <x:c r="AG32" s="68" t="str">
        <x:v>9555584.047809886</x:v>
      </x:c>
      <x:c r="AH32" s="70" t="str">
        <x:v>680000.0</x:v>
      </x:c>
      <x:c r="AI32" s="70" t="str">
        <x:v>690000.0</x:v>
      </x:c>
      <x:c r="AJ32" s="70" t="str">
        <x:v>680000000.0</x:v>
      </x:c>
      <x:c r="AK32" s="68" t="str">
        <x:v>15140000000.0</x:v>
      </x:c>
      <x:c r="AL32" s="66" t="str">
        <x:v>0.1250652491518801</x:v>
      </x:c>
      <x:c r="AM32" s="70" t="str">
        <x:v>7.0</x:v>
      </x:c>
      <x:c r="AN32" s="70" t="str">
        <x:v>7.0</x:v>
      </x:c>
      <x:c r="AO32" s="66" t="str">
        <x:v>100.0</x:v>
      </x:c>
      <x:c r="AP32" s="14" t="str">
        <x:v>High</x:v>
      </x:c>
      <x:c r="AQ32" s="47" t="str">
        <x:v>Issuer facility-to-FEMA county match</x:v>
      </x:c>
      <x:c r="AR32" s="66" t="str">
        <x:v>0.1250652491518801</x:v>
      </x:c>
      <x:c r="AS32" s="66" t="str">
        <x:v>6.952114548720453</x:v>
      </x:c>
      <x:c r="AT32" s="66" t="str">
        <x:v>0.0</x:v>
      </x:c>
      <x:c r="AU32" s="66" t="str">
        <x:v>11.136677389433892</x:v>
      </x:c>
      <x:c r="AV32" s="66" t="str">
        <x:v>2.1999999999999997</x:v>
      </x:c>
      <x:c r="AW32" s="72" t="str">
        <x:v>0.5</x:v>
      </x:c>
      <x:c r="AX32" s="72" t="str">
        <x:v>0.7</x:v>
      </x:c>
      <x:c r="AY32" s="72" t="str">
        <x:v>0.25</x:v>
      </x:c>
      <x:c r="AZ32" s="72" t="str">
        <x:v>0.004</x:v>
      </x:c>
      <x:c r="BA32" s="72" t="str">
        <x:v>0.05</x:v>
      </x:c>
      <x:c r="BB32" s="72" t="str">
        <x:v>0.15</x:v>
      </x:c>
      <x:c r="BC32" s="72" t="str">
        <x:v>0.7</x:v>
      </x:c>
      <x:c r="BD32" s="72" t="str">
        <x:v>0.05</x:v>
      </x:c>
      <x:c r="BE32" s="72" t="str">
        <x:v>0.15</x:v>
      </x:c>
      <x:c r="BF32" s="14" t="str">
        <x:v>0.6</x:v>
      </x:c>
      <x:c r="BG32" s="72" t="str">
        <x:v>0.35</x:v>
      </x:c>
      <x:c r="BH32" s="74" t="str">
        <x:v>0.7403100775193798</x:v>
      </x:c>
      <x:c r="BI32" s="47" t="str">
        <x:v>Common scenario elasticity + issuer SEC CapEx/CFO dependency scale</x:v>
      </x:c>
      <x:c r="BJ32" s="47" t="str">
        <x:v>Modeled estimate using observed inputs + disclosed assumptions</x:v>
      </x:c>
      <x:c r="BK32" s="14" t="str">
        <x:v>False</x:v>
      </x:c>
      <x:c r="BL32" s="14" t="str">
        <x:v>False</x:v>
      </x:c>
      <x:c r="BM32" s="14" t="str">
        <x:v>False</x:v>
      </x:c>
      <x:c r="BN32" s="47" t="str">
        <x:v>Conditional scenario sensitivity; not a forecast or probability</x:v>
      </x:c>
      <x:c r="BO32" s="66" t="str">
        <x:v>101.6137460161833</x:v>
      </x:c>
    </x:row>
    <x:row r="33">
      <x:c r="A33" s="14" t="str">
        <x:v>CAT</x:v>
      </x:c>
      <x:c r="B33" s="14" t="str">
        <x:v>Industrials</x:v>
      </x:c>
      <x:c r="C33" s="14" t="str">
        <x:v>nz_vs_baseline</x:v>
      </x:c>
      <x:c r="D33" s="47" t="str">
        <x:v>Net Zero 2050 vs baseline</x:v>
      </x:c>
      <x:c r="E33" s="14" t="str">
        <x:v>Net Zero vs baseline</x:v>
      </x:c>
      <x:c r="F33" s="14" t="str">
        <x:v>net_zero_2050</x:v>
      </x:c>
      <x:c r="G33" s="14" t="str">
        <x:v>baseline</x:v>
      </x:c>
      <x:c r="H33" s="14" t="str">
        <x:v>2050</x:v>
      </x:c>
      <x:c r="I33" s="14" t="str">
        <x:v>base</x:v>
      </x:c>
      <x:c r="J33" s="14" t="str">
        <x:v>True</x:v>
      </x:c>
      <x:c r="K33" s="14" t="str">
        <x:v>CFP-2026-003-R17-20260804T234500Z</x:v>
      </x:c>
      <x:c r="L3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3" s="66" t="str">
        <x:v>-5.818660737092063</x:v>
      </x:c>
      <x:c r="N33" s="68" t="str">
        <x:v>121641418108.2752</x:v>
      </x:c>
      <x:c r="O33" s="68" t="str">
        <x:v>114563516672.767</x:v>
      </x:c>
      <x:c r="P33" s="68" t="str">
        <x:v>18326479866.126686</x:v>
      </x:c>
      <x:c r="Q33" s="68" t="str">
        <x:v>16864604154.397493</x:v>
      </x:c>
      <x:c r="R33" s="68" t="str">
        <x:v>-1461875711.7291927</x:v>
      </x:c>
      <x:c r="S33" s="68" t="str">
        <x:v>10636693843.707409</x:v>
      </x:c>
      <x:c r="T33" s="66" t="str">
        <x:v>6.462739481365933</x:v>
      </x:c>
      <x:c r="U33" s="66" t="str">
        <x:v>0.18155184723526843</x:v>
      </x:c>
      <x:c r="V33" s="66" t="str">
        <x:v>1.3325581395348836</x:v>
      </x:c>
      <x:c r="W33" s="68" t="str">
        <x:v>1184392649.852748</x:v>
      </x:c>
      <x:c r="X33" s="68" t="str">
        <x:v>33272062.73015255</x:v>
      </x:c>
      <x:c r="Y33" s="68" t="str">
        <x:v>244210999.14629278</x:v>
      </x:c>
      <x:c r="Z33" s="66" t="str">
        <x:v>-5.060560687980236</x:v>
      </x:c>
      <x:c r="AA33" s="66" t="str">
        <x:v>-0.17675148194484805</x:v>
      </x:c>
      <x:c r="AB33" s="66" t="str">
        <x:v>-0.5813485671669825</x:v>
      </x:c>
      <x:c r="AC33" s="68" t="str">
        <x:v>97288544.62249269</x:v>
      </x:c>
      <x:c r="AD33" s="68" t="str">
        <x:v>49359629.256999955</x:v>
      </x:c>
      <x:c r="AE33" s="68" t="str">
        <x:v>1037744475.9732552</x:v>
      </x:c>
      <x:c r="AF33" s="68" t="str">
        <x:v>1420115.9041195984</x:v>
      </x:c>
      <x:c r="AG33" s="68" t="str">
        <x:v>31851946.82603295</x:v>
      </x:c>
      <x:c r="AH33" s="70" t="str">
        <x:v>680000.0</x:v>
      </x:c>
      <x:c r="AI33" s="70" t="str">
        <x:v>690000.0</x:v>
      </x:c>
      <x:c r="AJ33" s="70" t="str">
        <x:v>680000000.0</x:v>
      </x:c>
      <x:c r="AK33" s="68" t="str">
        <x:v>15140000000.0</x:v>
      </x:c>
      <x:c r="AL33" s="66" t="str">
        <x:v>0.1250652491518801</x:v>
      </x:c>
      <x:c r="AM33" s="70" t="str">
        <x:v>7.0</x:v>
      </x:c>
      <x:c r="AN33" s="70" t="str">
        <x:v>7.0</x:v>
      </x:c>
      <x:c r="AO33" s="66" t="str">
        <x:v>100.0</x:v>
      </x:c>
      <x:c r="AP33" s="14" t="str">
        <x:v>High</x:v>
      </x:c>
      <x:c r="AQ33" s="47" t="str">
        <x:v>Issuer facility-to-FEMA county match</x:v>
      </x:c>
      <x:c r="AR33" s="66" t="str">
        <x:v>0.1250652491518801</x:v>
      </x:c>
      <x:c r="AS33" s="66" t="str">
        <x:v>6.952114548720453</x:v>
      </x:c>
      <x:c r="AT33" s="66" t="str">
        <x:v>0.0</x:v>
      </x:c>
      <x:c r="AU33" s="66" t="str">
        <x:v>11.136677389433892</x:v>
      </x:c>
      <x:c r="AV33" s="66" t="str">
        <x:v>2.1999999999999997</x:v>
      </x:c>
      <x:c r="AW33" s="72" t="str">
        <x:v>0.75</x:v>
      </x:c>
      <x:c r="AX33" s="72" t="str">
        <x:v>0.5</x:v>
      </x:c>
      <x:c r="AY33" s="72" t="str">
        <x:v>0.5</x:v>
      </x:c>
      <x:c r="AZ33" s="72" t="str">
        <x:v>0.008</x:v>
      </x:c>
      <x:c r="BA33" s="72" t="str">
        <x:v>0.03</x:v>
      </x:c>
      <x:c r="BB33" s="72" t="str">
        <x:v>0.25</x:v>
      </x:c>
      <x:c r="BC33" s="72" t="str">
        <x:v>0.5</x:v>
      </x:c>
      <x:c r="BD33" s="72" t="str">
        <x:v>0.1</x:v>
      </x:c>
      <x:c r="BE33" s="72" t="str">
        <x:v>0.25</x:v>
      </x:c>
      <x:c r="BF33" s="14" t="str">
        <x:v>0.6</x:v>
      </x:c>
      <x:c r="BG33" s="72" t="str">
        <x:v>0.6</x:v>
      </x:c>
      <x:c r="BH33" s="74" t="str">
        <x:v>0.7403100775193798</x:v>
      </x:c>
      <x:c r="BI33" s="47" t="str">
        <x:v>Common scenario elasticity + issuer SEC CapEx/CFO dependency scale</x:v>
      </x:c>
      <x:c r="BJ33" s="47" t="str">
        <x:v>Modeled estimate using observed inputs + disclosed assumptions</x:v>
      </x:c>
      <x:c r="BK33" s="14" t="str">
        <x:v>False</x:v>
      </x:c>
      <x:c r="BL33" s="14" t="str">
        <x:v>False</x:v>
      </x:c>
      <x:c r="BM33" s="14" t="str">
        <x:v>False</x:v>
      </x:c>
      <x:c r="BN33" s="47" t="str">
        <x:v>Conditional scenario sensitivity; not a forecast or probability</x:v>
      </x:c>
      <x:c r="BO33" s="66" t="str">
        <x:v>106.17814609839984</x:v>
      </x:c>
    </x:row>
    <x:row r="34">
      <x:c r="A34" s="14" t="str">
        <x:v>CAT</x:v>
      </x:c>
      <x:c r="B34" s="14" t="str">
        <x:v>Industrials</x:v>
      </x:c>
      <x:c r="C34" s="14" t="str">
        <x:v>nz_vs_baseline</x:v>
      </x:c>
      <x:c r="D34" s="47" t="str">
        <x:v>Net Zero 2050 vs baseline</x:v>
      </x:c>
      <x:c r="E34" s="14" t="str">
        <x:v>Net Zero vs baseline</x:v>
      </x:c>
      <x:c r="F34" s="14" t="str">
        <x:v>net_zero_2050</x:v>
      </x:c>
      <x:c r="G34" s="14" t="str">
        <x:v>baseline</x:v>
      </x:c>
      <x:c r="H34" s="14" t="str">
        <x:v>2050</x:v>
      </x:c>
      <x:c r="I34" s="14" t="str">
        <x:v>high</x:v>
      </x:c>
      <x:c r="J34" s="14" t="str">
        <x:v>True</x:v>
      </x:c>
      <x:c r="K34" s="14" t="str">
        <x:v>CFP-2026-003-R17-20260804T234500Z</x:v>
      </x:c>
      <x:c r="L3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4" s="66" t="str">
        <x:v>-19.655970575323167</x:v>
      </x:c>
      <x:c r="N34" s="68" t="str">
        <x:v>121641418108.2752</x:v>
      </x:c>
      <x:c r="O34" s="68" t="str">
        <x:v>97731616757.5068</x:v>
      </x:c>
      <x:c r="P34" s="68" t="str">
        <x:v>18326479866.126686</x:v>
      </x:c>
      <x:c r="Q34" s="68" t="str">
        <x:v>12442268444.476397</x:v>
      </x:c>
      <x:c r="R34" s="68" t="str">
        <x:v>-5884211421.65029</x:v>
      </x:c>
      <x:c r="S34" s="68" t="str">
        <x:v>10636693843.707409</x:v>
      </x:c>
      <x:c r="T34" s="66" t="str">
        <x:v>29.315956365237366</x:v>
      </x:c>
      <x:c r="U34" s="66" t="str">
        <x:v>0.5708147427452522</x:v>
      </x:c>
      <x:c r="V34" s="66" t="str">
        <x:v>2.2209302325581395</x:v>
      </x:c>
      <x:c r="W34" s="68" t="str">
        <x:v>5372582840.83771</x:v>
      </x:c>
      <x:c r="X34" s="68" t="str">
        <x:v>104610248.90209149</x:v>
      </x:c>
      <x:c r="Y34" s="68" t="str">
        <x:v>407018331.910488</x:v>
      </x:c>
      <x:c r="Z34" s="66" t="str">
        <x:v>-18.126810213968103</x:v>
      </x:c>
      <x:c r="AA34" s="66" t="str">
        <x:v>-0.5602460827434161</x:v>
      </x:c>
      <x:c r="AB34" s="66" t="str">
        <x:v>-0.9689142786116492</x:v>
      </x:c>
      <x:c r="AC34" s="68" t="str">
        <x:v>302492761.89357424</x:v>
      </x:c>
      <x:c r="AD34" s="68" t="str">
        <x:v>230205888.64694807</x:v>
      </x:c>
      <x:c r="AE34" s="68" t="str">
        <x:v>4839884190.297188</x:v>
      </x:c>
      <x:c r="AF34" s="68" t="str">
        <x:v>2684019.0587860406</x:v>
      </x:c>
      <x:c r="AG34" s="68" t="str">
        <x:v>101926229.84330545</x:v>
      </x:c>
      <x:c r="AH34" s="70" t="str">
        <x:v>680000.0</x:v>
      </x:c>
      <x:c r="AI34" s="70" t="str">
        <x:v>690000.0</x:v>
      </x:c>
      <x:c r="AJ34" s="70" t="str">
        <x:v>680000000.0</x:v>
      </x:c>
      <x:c r="AK34" s="68" t="str">
        <x:v>15140000000.0</x:v>
      </x:c>
      <x:c r="AL34" s="66" t="str">
        <x:v>0.1250652491518801</x:v>
      </x:c>
      <x:c r="AM34" s="70" t="str">
        <x:v>7.0</x:v>
      </x:c>
      <x:c r="AN34" s="70" t="str">
        <x:v>7.0</x:v>
      </x:c>
      <x:c r="AO34" s="66" t="str">
        <x:v>100.0</x:v>
      </x:c>
      <x:c r="AP34" s="14" t="str">
        <x:v>High</x:v>
      </x:c>
      <x:c r="AQ34" s="47" t="str">
        <x:v>Issuer facility-to-FEMA county match</x:v>
      </x:c>
      <x:c r="AR34" s="66" t="str">
        <x:v>0.1250652491518801</x:v>
      </x:c>
      <x:c r="AS34" s="66" t="str">
        <x:v>6.952114548720453</x:v>
      </x:c>
      <x:c r="AT34" s="66" t="str">
        <x:v>0.0</x:v>
      </x:c>
      <x:c r="AU34" s="66" t="str">
        <x:v>11.136677389433892</x:v>
      </x:c>
      <x:c r="AV34" s="66" t="str">
        <x:v>2.1999999999999997</x:v>
      </x:c>
      <x:c r="AW34" s="72" t="str">
        <x:v>1.0</x:v>
      </x:c>
      <x:c r="AX34" s="72" t="str">
        <x:v>0.3</x:v>
      </x:c>
      <x:c r="AY34" s="72" t="str">
        <x:v>0.75</x:v>
      </x:c>
      <x:c r="AZ34" s="72" t="str">
        <x:v>0.016</x:v>
      </x:c>
      <x:c r="BA34" s="72" t="str">
        <x:v>0.01</x:v>
      </x:c>
      <x:c r="BB34" s="72" t="str">
        <x:v>0.3375</x:v>
      </x:c>
      <x:c r="BC34" s="72" t="str">
        <x:v>0.3</x:v>
      </x:c>
      <x:c r="BD34" s="72" t="str">
        <x:v>0.2</x:v>
      </x:c>
      <x:c r="BE34" s="72" t="str">
        <x:v>0.4</x:v>
      </x:c>
      <x:c r="BF34" s="14" t="str">
        <x:v>0.6</x:v>
      </x:c>
      <x:c r="BG34" s="72" t="str">
        <x:v>1.0</x:v>
      </x:c>
      <x:c r="BH34" s="74" t="str">
        <x:v>0.7403100775193798</x:v>
      </x:c>
      <x:c r="BI34" s="47" t="str">
        <x:v>Common scenario elasticity + issuer SEC CapEx/CFO dependency scale</x:v>
      </x:c>
      <x:c r="BJ34" s="47" t="str">
        <x:v>Modeled estimate using observed inputs + disclosed assumptions</x:v>
      </x:c>
      <x:c r="BK34" s="14" t="str">
        <x:v>False</x:v>
      </x:c>
      <x:c r="BL34" s="14" t="str">
        <x:v>False</x:v>
      </x:c>
      <x:c r="BM34" s="14" t="str">
        <x:v>False</x:v>
      </x:c>
      <x:c r="BN34" s="47" t="str">
        <x:v>Conditional scenario sensitivity; not a forecast or probability</x:v>
      </x:c>
      <x:c r="BO34" s="66" t="str">
        <x:v>124.46475577099454</x:v>
      </x:c>
    </x:row>
    <x:row r="35">
      <x:c r="A35" s="14" t="str">
        <x:v>CVX</x:v>
      </x:c>
      <x:c r="B35" s="14" t="str">
        <x:v>Energy</x:v>
      </x:c>
      <x:c r="C35" s="14" t="str">
        <x:v>nz_vs_baseline</x:v>
      </x:c>
      <x:c r="D35" s="47" t="str">
        <x:v>Net Zero 2050 vs baseline</x:v>
      </x:c>
      <x:c r="E35" s="14" t="str">
        <x:v>Net Zero vs baseline</x:v>
      </x:c>
      <x:c r="F35" s="14" t="str">
        <x:v>net_zero_2050</x:v>
      </x:c>
      <x:c r="G35" s="14" t="str">
        <x:v>baseline</x:v>
      </x:c>
      <x:c r="H35" s="14" t="str">
        <x:v>2050</x:v>
      </x:c>
      <x:c r="I35" s="14" t="str">
        <x:v>low</x:v>
      </x:c>
      <x:c r="J35" s="14" t="str">
        <x:v>True</x:v>
      </x:c>
      <x:c r="K35" s="14" t="str">
        <x:v>CFP-2026-003-R17-20260804T234500Z</x:v>
      </x:c>
      <x:c r="L3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5" s="66" t="str">
        <x:v>-7.5091380482886105</x:v>
      </x:c>
      <x:c r="N35" s="68" t="str">
        <x:v>376652049847.3526</x:v>
      </x:c>
      <x:c r="O35" s="68" t="str">
        <x:v>348368727462.6061</x:v>
      </x:c>
      <x:c r="P35" s="68" t="str">
        <x:v>28339039686.316536</x:v>
      </x:c>
      <x:c r="Q35" s="68" t="str">
        <x:v>26075717663.007214</x:v>
      </x:c>
      <x:c r="R35" s="68" t="str">
        <x:v>-2263322023.3093224</x:v>
      </x:c>
      <x:c r="S35" s="68" t="str">
        <x:v>18142230456.32</x:v>
      </x:c>
      <x:c r="T35" s="66" t="str">
        <x:v>6.75308116421297</x:v>
      </x:c>
      <x:c r="U35" s="66" t="str">
        <x:v>0.17182666622759668</x:v>
      </x:c>
      <x:c r="V35" s="66" t="str">
        <x:v>1.0616790418103066</x:v>
      </x:c>
      <x:c r="W35" s="68" t="str">
        <x:v>1913758351.1754804</x:v>
      </x:c>
      <x:c r="X35" s="68" t="str">
        <x:v>48694027.13391328</x:v>
      </x:c>
      <x:c r="Y35" s="68" t="str">
        <x:v>300869644.9999279</x:v>
      </x:c>
      <x:c r="Z35" s="66" t="str">
        <x:v>-6.739102100451477</x:v>
      </x:c>
      <x:c r="AA35" s="66" t="str">
        <x:v>-0.1309876805524695</x:v>
      </x:c>
      <x:c r="AB35" s="66" t="str">
        <x:v>-0.6390482672846594</x:v>
      </x:c>
      <x:c r="AC35" s="68" t="str">
        <x:v>1835706816.8870957</x:v>
      </x:c>
      <x:c r="AD35" s="68" t="str">
        <x:v>33994570.68309437</x:v>
      </x:c>
      <x:c r="AE35" s="68" t="str">
        <x:v>44056963.6052903</x:v>
      </x:c>
      <x:c r="AF35" s="68" t="str">
        <x:v>33917808.37641271</x:v>
      </x:c>
      <x:c r="AG35" s="68" t="str">
        <x:v>14776218.757500563</x:v>
      </x:c>
      <x:c r="AH35" s="70" t="str">
        <x:v>54000000.0</x:v>
      </x:c>
      <x:c r="AI35" s="70" t="str">
        <x:v>4000000.0</x:v>
      </x:c>
      <x:c r="AJ35" s="70" t="str">
        <x:v>432000000.0</x:v>
      </x:c>
      <x:c r="AK35" s="68" t="str">
        <x:v>219729000000.0</x:v>
      </x:c>
      <x:c r="AL35" s="66" t="str">
        <x:v>0.31761728843062803</x:v>
      </x:c>
      <x:c r="AM35" s="70" t="str">
        <x:v>34.0</x:v>
      </x:c>
      <x:c r="AN35" s="70" t="str">
        <x:v>53.0</x:v>
      </x:c>
      <x:c r="AO35" s="66" t="str">
        <x:v>64.15094339622641</x:v>
      </x:c>
      <x:c r="AP35" s="14" t="str">
        <x:v>Medium</x:v>
      </x:c>
      <x:c r="AQ35" s="47" t="str">
        <x:v>Issuer facility-to-FEMA county match</x:v>
      </x:c>
      <x:c r="AR35" s="66" t="str">
        <x:v>0.31761728843062803</x:v>
      </x:c>
      <x:c r="AS35" s="66" t="str">
        <x:v>6.952114548720453</x:v>
      </x:c>
      <x:c r="AT35" s="66" t="str">
        <x:v>0.0</x:v>
      </x:c>
      <x:c r="AU35" s="66" t="str">
        <x:v>6.7034090248596065</x:v>
      </x:c>
      <x:c r="AV35" s="66" t="str">
        <x:v>1.7999999999999998</x:v>
      </x:c>
      <x:c r="AW35" s="72" t="str">
        <x:v>0.5</x:v>
      </x:c>
      <x:c r="AX35" s="72" t="str">
        <x:v>0.7</x:v>
      </x:c>
      <x:c r="AY35" s="72" t="str">
        <x:v>0.25</x:v>
      </x:c>
      <x:c r="AZ35" s="72" t="str">
        <x:v>0.0015</x:v>
      </x:c>
      <x:c r="BA35" s="72" t="str">
        <x:v>0.05</x:v>
      </x:c>
      <x:c r="BB35" s="72" t="str">
        <x:v>0.27</x:v>
      </x:c>
      <x:c r="BC35" s="72" t="str">
        <x:v>0.7</x:v>
      </x:c>
      <x:c r="BD35" s="72" t="str">
        <x:v>0.05</x:v>
      </x:c>
      <x:c r="BE35" s="72" t="str">
        <x:v>0.15</x:v>
      </x:c>
      <x:c r="BF35" s="14" t="str">
        <x:v>0.6</x:v>
      </x:c>
      <x:c r="BG35" s="72" t="str">
        <x:v>0.35</x:v>
      </x:c>
      <x:c r="BH35" s="74" t="str">
        <x:v>1.0111228969621968</x:v>
      </x:c>
      <x:c r="BI35" s="47" t="str">
        <x:v>Common scenario elasticity + issuer SEC CapEx/CFO dependency scale</x:v>
      </x:c>
      <x:c r="BJ35" s="47" t="str">
        <x:v>Modeled estimate using observed inputs + disclosed assumptions</x:v>
      </x:c>
      <x:c r="BK35" s="14" t="str">
        <x:v>False</x:v>
      </x:c>
      <x:c r="BL35" s="14" t="str">
        <x:v>False</x:v>
      </x:c>
      <x:c r="BM35" s="14" t="str">
        <x:v>False</x:v>
      </x:c>
      <x:c r="BN35" s="47" t="str">
        <x:v>Conditional scenario sensitivity; not a forecast or probability</x:v>
      </x:c>
      <x:c r="BO35" s="66" t="str">
        <x:v>108.1187891320648</x:v>
      </x:c>
    </x:row>
    <x:row r="36">
      <x:c r="A36" s="14" t="str">
        <x:v>CVX</x:v>
      </x:c>
      <x:c r="B36" s="14" t="str">
        <x:v>Energy</x:v>
      </x:c>
      <x:c r="C36" s="14" t="str">
        <x:v>nz_vs_baseline</x:v>
      </x:c>
      <x:c r="D36" s="47" t="str">
        <x:v>Net Zero 2050 vs baseline</x:v>
      </x:c>
      <x:c r="E36" s="14" t="str">
        <x:v>Net Zero vs baseline</x:v>
      </x:c>
      <x:c r="F36" s="14" t="str">
        <x:v>net_zero_2050</x:v>
      </x:c>
      <x:c r="G36" s="14" t="str">
        <x:v>baseline</x:v>
      </x:c>
      <x:c r="H36" s="14" t="str">
        <x:v>2050</x:v>
      </x:c>
      <x:c r="I36" s="14" t="str">
        <x:v>base</x:v>
      </x:c>
      <x:c r="J36" s="14" t="str">
        <x:v>True</x:v>
      </x:c>
      <x:c r="K36" s="14" t="str">
        <x:v>CFP-2026-003-R17-20260804T234500Z</x:v>
      </x:c>
      <x:c r="L3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6" s="66" t="str">
        <x:v>-25.759684409994566</x:v>
      </x:c>
      <x:c r="N36" s="68" t="str">
        <x:v>376652049847.3526</x:v>
      </x:c>
      <x:c r="O36" s="68" t="str">
        <x:v>279627670482.8992</x:v>
      </x:c>
      <x:c r="P36" s="68" t="str">
        <x:v>28339039686.316536</x:v>
      </x:c>
      <x:c r="Q36" s="68" t="str">
        <x:v>19420567802.233994</x:v>
      </x:c>
      <x:c r="R36" s="68" t="str">
        <x:v>-8918471884.082542</x:v>
      </x:c>
      <x:c r="S36" s="68" t="str">
        <x:v>18142230456.32</x:v>
      </x:c>
      <x:c r="T36" s="66" t="str">
        <x:v>29.144336732345167</x:v>
      </x:c>
      <x:c r="U36" s="66" t="str">
        <x:v>0.5062634390296592</x:v>
      </x:c>
      <x:c r="V36" s="66" t="str">
        <x:v>1.820021214531954</x:v>
      </x:c>
      <x:c r="W36" s="68" t="str">
        <x:v>8259225152.893024</x:v>
      </x:c>
      <x:c r="X36" s="68" t="str">
        <x:v>143470196.90392604</x:v>
      </x:c>
      <x:c r="Y36" s="68" t="str">
        <x:v>515776534.2855907</x:v>
      </x:c>
      <x:c r="Z36" s="66" t="str">
        <x:v>-24.271454708197854</x:v>
      </x:c>
      <x:c r="AA36" s="66" t="str">
        <x:v>-0.3927183864515699</x:v>
      </x:c>
      <x:c r="AB36" s="66" t="str">
        <x:v>-1.095511315345136</x:v>
      </x:c>
      <x:c r="AC36" s="68" t="str">
        <x:v>7725855014.139124</x:v>
      </x:c>
      <x:c r="AD36" s="68" t="str">
        <x:v>286142778.30144906</x:v>
      </x:c>
      <x:c r="AE36" s="68" t="str">
        <x:v>247227360.45245197</x:v>
      </x:c>
      <x:c r="AF36" s="68" t="str">
        <x:v>94216134.37892418</x:v>
      </x:c>
      <x:c r="AG36" s="68" t="str">
        <x:v>49254062.525001876</x:v>
      </x:c>
      <x:c r="AH36" s="70" t="str">
        <x:v>54000000.0</x:v>
      </x:c>
      <x:c r="AI36" s="70" t="str">
        <x:v>4000000.0</x:v>
      </x:c>
      <x:c r="AJ36" s="70" t="str">
        <x:v>432000000.0</x:v>
      </x:c>
      <x:c r="AK36" s="68" t="str">
        <x:v>219729000000.0</x:v>
      </x:c>
      <x:c r="AL36" s="66" t="str">
        <x:v>0.31761728843062803</x:v>
      </x:c>
      <x:c r="AM36" s="70" t="str">
        <x:v>34.0</x:v>
      </x:c>
      <x:c r="AN36" s="70" t="str">
        <x:v>53.0</x:v>
      </x:c>
      <x:c r="AO36" s="66" t="str">
        <x:v>64.15094339622641</x:v>
      </x:c>
      <x:c r="AP36" s="14" t="str">
        <x:v>Medium</x:v>
      </x:c>
      <x:c r="AQ36" s="47" t="str">
        <x:v>Issuer facility-to-FEMA county match</x:v>
      </x:c>
      <x:c r="AR36" s="66" t="str">
        <x:v>0.31761728843062803</x:v>
      </x:c>
      <x:c r="AS36" s="66" t="str">
        <x:v>6.952114548720453</x:v>
      </x:c>
      <x:c r="AT36" s="66" t="str">
        <x:v>0.0</x:v>
      </x:c>
      <x:c r="AU36" s="66" t="str">
        <x:v>6.7034090248596065</x:v>
      </x:c>
      <x:c r="AV36" s="66" t="str">
        <x:v>1.7999999999999998</x:v>
      </x:c>
      <x:c r="AW36" s="72" t="str">
        <x:v>0.75</x:v>
      </x:c>
      <x:c r="AX36" s="72" t="str">
        <x:v>0.5</x:v>
      </x:c>
      <x:c r="AY36" s="72" t="str">
        <x:v>0.5</x:v>
      </x:c>
      <x:c r="AZ36" s="72" t="str">
        <x:v>0.003</x:v>
      </x:c>
      <x:c r="BA36" s="72" t="str">
        <x:v>0.03</x:v>
      </x:c>
      <x:c r="BB36" s="72" t="str">
        <x:v>0.45</x:v>
      </x:c>
      <x:c r="BC36" s="72" t="str">
        <x:v>0.5</x:v>
      </x:c>
      <x:c r="BD36" s="72" t="str">
        <x:v>0.1</x:v>
      </x:c>
      <x:c r="BE36" s="72" t="str">
        <x:v>0.25</x:v>
      </x:c>
      <x:c r="BF36" s="14" t="str">
        <x:v>0.6</x:v>
      </x:c>
      <x:c r="BG36" s="72" t="str">
        <x:v>0.6</x:v>
      </x:c>
      <x:c r="BH36" s="74" t="str">
        <x:v>1.0111228969621968</x:v>
      </x:c>
      <x:c r="BI36" s="47" t="str">
        <x:v>Common scenario elasticity + issuer SEC CapEx/CFO dependency scale</x:v>
      </x:c>
      <x:c r="BJ36" s="47" t="str">
        <x:v>Modeled estimate using observed inputs + disclosed assumptions</x:v>
      </x:c>
      <x:c r="BK36" s="14" t="str">
        <x:v>False</x:v>
      </x:c>
      <x:c r="BL36" s="14" t="str">
        <x:v>False</x:v>
      </x:c>
      <x:c r="BM36" s="14" t="str">
        <x:v>False</x:v>
      </x:c>
      <x:c r="BN36" s="47" t="str">
        <x:v>Conditional scenario sensitivity; not a forecast or probability</x:v>
      </x:c>
      <x:c r="BO36" s="66" t="str">
        <x:v>134.69770326981535</x:v>
      </x:c>
    </x:row>
    <x:row r="37">
      <x:c r="A37" s="14" t="str">
        <x:v>CVX</x:v>
      </x:c>
      <x:c r="B37" s="14" t="str">
        <x:v>Energy</x:v>
      </x:c>
      <x:c r="C37" s="14" t="str">
        <x:v>nz_vs_baseline</x:v>
      </x:c>
      <x:c r="D37" s="47" t="str">
        <x:v>Net Zero 2050 vs baseline</x:v>
      </x:c>
      <x:c r="E37" s="14" t="str">
        <x:v>Net Zero vs baseline</x:v>
      </x:c>
      <x:c r="F37" s="14" t="str">
        <x:v>net_zero_2050</x:v>
      </x:c>
      <x:c r="G37" s="14" t="str">
        <x:v>baseline</x:v>
      </x:c>
      <x:c r="H37" s="14" t="str">
        <x:v>2050</x:v>
      </x:c>
      <x:c r="I37" s="14" t="str">
        <x:v>high</x:v>
      </x:c>
      <x:c r="J37" s="14" t="str">
        <x:v>True</x:v>
      </x:c>
      <x:c r="K37" s="14" t="str">
        <x:v>CFP-2026-003-R17-20260804T234500Z</x:v>
      </x:c>
      <x:c r="L3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7" s="66" t="str">
        <x:v>-69.9210573929396</x:v>
      </x:c>
      <x:c r="N37" s="68" t="str">
        <x:v>376652049847.3526</x:v>
      </x:c>
      <x:c r="O37" s="68" t="str">
        <x:v>113292953901.90172</x:v>
      </x:c>
      <x:c r="P37" s="68" t="str">
        <x:v>28339039686.316536</x:v>
      </x:c>
      <x:c r="Q37" s="68" t="str">
        <x:v>634688478.1149559</x:v>
      </x:c>
      <x:c r="R37" s="68" t="str">
        <x:v>-27704351208.20158</x:v>
      </x:c>
      <x:c r="S37" s="68" t="str">
        <x:v>18142230456.32</x:v>
      </x:c>
      <x:c r="T37" s="66" t="str">
        <x:v>93.54248573850796</x:v>
      </x:c>
      <x:c r="U37" s="66" t="str">
        <x:v>1.184519651236651</x:v>
      </x:c>
      <x:c r="V37" s="66" t="str">
        <x:v>3.0333686908865904</x:v>
      </x:c>
      <x:c r="W37" s="68" t="str">
        <x:v>26509042157.002758</x:v>
      </x:c>
      <x:c r="X37" s="68" t="str">
        <x:v>335681494.0561727</x:v>
      </x:c>
      <x:c r="Y37" s="68" t="str">
        <x:v>859627557.1426512</x:v>
      </x:c>
      <x:c r="Z37" s="66" t="str">
        <x:v>-67.12609862485698</x:v>
      </x:c>
      <x:c r="AA37" s="66" t="str">
        <x:v>-0.9691065758407355</x:v>
      </x:c>
      <x:c r="AB37" s="66" t="str">
        <x:v>-1.8258521922418773</x:v>
      </x:c>
      <x:c r="AC37" s="68" t="str">
        <x:v>24021484032.725014</x:v>
      </x:c>
      <x:c r="AD37" s="68" t="str">
        <x:v>1334526890.7069452</x:v>
      </x:c>
      <x:c r="AE37" s="68" t="str">
        <x:v>1153031233.5708005</x:v>
      </x:c>
      <x:c r="AF37" s="68" t="str">
        <x:v>178068493.9761667</x:v>
      </x:c>
      <x:c r="AG37" s="68" t="str">
        <x:v>157613000.080006</x:v>
      </x:c>
      <x:c r="AH37" s="70" t="str">
        <x:v>54000000.0</x:v>
      </x:c>
      <x:c r="AI37" s="70" t="str">
        <x:v>4000000.0</x:v>
      </x:c>
      <x:c r="AJ37" s="70" t="str">
        <x:v>432000000.0</x:v>
      </x:c>
      <x:c r="AK37" s="68" t="str">
        <x:v>219729000000.0</x:v>
      </x:c>
      <x:c r="AL37" s="66" t="str">
        <x:v>0.31761728843062803</x:v>
      </x:c>
      <x:c r="AM37" s="70" t="str">
        <x:v>34.0</x:v>
      </x:c>
      <x:c r="AN37" s="70" t="str">
        <x:v>53.0</x:v>
      </x:c>
      <x:c r="AO37" s="66" t="str">
        <x:v>64.15094339622641</x:v>
      </x:c>
      <x:c r="AP37" s="14" t="str">
        <x:v>Medium</x:v>
      </x:c>
      <x:c r="AQ37" s="47" t="str">
        <x:v>Issuer facility-to-FEMA county match</x:v>
      </x:c>
      <x:c r="AR37" s="66" t="str">
        <x:v>0.31761728843062803</x:v>
      </x:c>
      <x:c r="AS37" s="66" t="str">
        <x:v>6.952114548720453</x:v>
      </x:c>
      <x:c r="AT37" s="66" t="str">
        <x:v>0.0</x:v>
      </x:c>
      <x:c r="AU37" s="66" t="str">
        <x:v>6.7034090248596065</x:v>
      </x:c>
      <x:c r="AV37" s="66" t="str">
        <x:v>1.7999999999999998</x:v>
      </x:c>
      <x:c r="AW37" s="72" t="str">
        <x:v>1.0</x:v>
      </x:c>
      <x:c r="AX37" s="72" t="str">
        <x:v>0.3</x:v>
      </x:c>
      <x:c r="AY37" s="72" t="str">
        <x:v>0.75</x:v>
      </x:c>
      <x:c r="AZ37" s="72" t="str">
        <x:v>0.006</x:v>
      </x:c>
      <x:c r="BA37" s="72" t="str">
        <x:v>0.01</x:v>
      </x:c>
      <x:c r="BB37" s="72" t="str">
        <x:v>0.6075</x:v>
      </x:c>
      <x:c r="BC37" s="72" t="str">
        <x:v>0.3</x:v>
      </x:c>
      <x:c r="BD37" s="72" t="str">
        <x:v>0.2</x:v>
      </x:c>
      <x:c r="BE37" s="72" t="str">
        <x:v>0.4</x:v>
      </x:c>
      <x:c r="BF37" s="14" t="str">
        <x:v>0.6</x:v>
      </x:c>
      <x:c r="BG37" s="72" t="str">
        <x:v>1.0</x:v>
      </x:c>
      <x:c r="BH37" s="74" t="str">
        <x:v>1.0111228969621968</x:v>
      </x:c>
      <x:c r="BI37" s="47" t="str">
        <x:v>Common scenario elasticity + issuer SEC CapEx/CFO dependency scale</x:v>
      </x:c>
      <x:c r="BJ37" s="47" t="str">
        <x:v>Modeled estimate using observed inputs + disclosed assumptions</x:v>
      </x:c>
      <x:c r="BK37" s="14" t="str">
        <x:v>False</x:v>
      </x:c>
      <x:c r="BL37" s="14" t="str">
        <x:v>False</x:v>
      </x:c>
      <x:c r="BM37" s="14" t="str">
        <x:v>False</x:v>
      </x:c>
      <x:c r="BN37" s="47" t="str">
        <x:v>Conditional scenario sensitivity; not a forecast or probability</x:v>
      </x:c>
      <x:c r="BO37" s="66" t="str">
        <x:v>332.4584953213319</x:v>
      </x:c>
    </x:row>
    <x:row r="38">
      <x:c r="A38" s="14" t="str">
        <x:v>DE</x:v>
      </x:c>
      <x:c r="B38" s="14" t="str">
        <x:v>Industrials</x:v>
      </x:c>
      <x:c r="C38" s="14" t="str">
        <x:v>nz_vs_baseline</x:v>
      </x:c>
      <x:c r="D38" s="47" t="str">
        <x:v>Net Zero 2050 vs baseline</x:v>
      </x:c>
      <x:c r="E38" s="14" t="str">
        <x:v>Net Zero vs baseline</x:v>
      </x:c>
      <x:c r="F38" s="14" t="str">
        <x:v>net_zero_2050</x:v>
      </x:c>
      <x:c r="G38" s="14" t="str">
        <x:v>baseline</x:v>
      </x:c>
      <x:c r="H38" s="14" t="str">
        <x:v>2050</x:v>
      </x:c>
      <x:c r="I38" s="14" t="str">
        <x:v>low</x:v>
      </x:c>
      <x:c r="J38" s="14" t="str">
        <x:v>True</x:v>
      </x:c>
      <x:c r="K38" s="14" t="str">
        <x:v>CFP-2026-003-R17-20260804T234500Z</x:v>
      </x:c>
      <x:c r="L3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8" s="66" t="str">
        <x:v>-0.7091428227419483</x:v>
      </x:c>
      <x:c r="N38" s="68" t="str">
        <x:v>156035291063.10095</x:v>
      </x:c>
      <x:c r="O38" s="68" t="str">
        <x:v>154928777995.58246</x:v>
      </x:c>
      <x:c r="P38" s="68" t="str">
        <x:v>14871029621.789665</x:v>
      </x:c>
      <x:c r="Q38" s="68" t="str">
        <x:v>14720339765.64397</x:v>
      </x:c>
      <x:c r="R38" s="68" t="str">
        <x:v>-150689856.14569473</x:v>
      </x:c>
      <x:c r="S38" s="68" t="str">
        <x:v>8631149592.456448</x:v>
      </x:c>
      <x:c r="T38" s="66" t="str">
        <x:v>0.2431776230533493</x:v>
      </x:c>
      <x:c r="U38" s="66" t="str">
        <x:v>0.05368732129978147</x:v>
      </x:c>
      <x:c r="V38" s="66" t="str">
        <x:v>0.7164465746078562</x:v>
      </x:c>
      <x:c r="W38" s="68" t="str">
        <x:v>36163016.35782759</x:v>
      </x:c>
      <x:c r="X38" s="68" t="str">
        <x:v>7983857.453635895</x:v>
      </x:c>
      <x:c r="Y38" s="68" t="str">
        <x:v>106542982.33423169</x:v>
      </x:c>
      <x:c r="Z38" s="66" t="str">
        <x:v>-0.25179012558387526</x:v>
      </x:c>
      <x:c r="AA38" s="66" t="str">
        <x:v>-0.05291959891095528</x:v>
      </x:c>
      <x:c r="AB38" s="66" t="str">
        <x:v>-0.40443309824712065</x:v>
      </x:c>
      <x:c r="AC38" s="68" t="str">
        <x:v>12030678.564747097</x:v>
      </x:c>
      <x:c r="AD38" s="68" t="str">
        <x:v>1903695.9582532845</x:v>
      </x:c>
      <x:c r="AE38" s="68" t="str">
        <x:v>22228641.83482721</x:v>
      </x:c>
      <x:c r="AF38" s="68" t="str">
        <x:v>229974.8495286382</x:v>
      </x:c>
      <x:c r="AG38" s="68" t="str">
        <x:v>7753882.604107256</x:v>
      </x:c>
      <x:c r="AH38" s="70" t="str">
        <x:v>353900.0</x:v>
      </x:c>
      <x:c r="AI38" s="70" t="str">
        <x:v>224000.0</x:v>
      </x:c>
      <x:c r="AJ38" s="70" t="str">
        <x:v>81736000.0</x:v>
      </x:c>
      <x:c r="AK38" s="68" t="str">
        <x:v>8079000000.0</x:v>
      </x:c>
      <x:c r="AL38" s="66" t="str">
        <x:v>0.1054287290454164</x:v>
      </x:c>
      <x:c r="AM38" s="70" t="str">
        <x:v>1.0</x:v>
      </x:c>
      <x:c r="AN38" s="70" t="str">
        <x:v>1.0</x:v>
      </x:c>
      <x:c r="AO38" s="66" t="str">
        <x:v>100.0</x:v>
      </x:c>
      <x:c r="AP38" s="14" t="str">
        <x:v>High</x:v>
      </x:c>
      <x:c r="AQ38" s="47" t="str">
        <x:v>Issuer facility-to-FEMA county match</x:v>
      </x:c>
      <x:c r="AR38" s="66" t="str">
        <x:v>0.1054287290454164</x:v>
      </x:c>
      <x:c r="AS38" s="66" t="str">
        <x:v>6.952114548720453</x:v>
      </x:c>
      <x:c r="AT38" s="66" t="str">
        <x:v>0.0</x:v>
      </x:c>
      <x:c r="AU38" s="66" t="str">
        <x:v>7.853230639934694</x:v>
      </x:c>
      <x:c r="AV38" s="66" t="str">
        <x:v>2.1999999999999997</x:v>
      </x:c>
      <x:c r="AW38" s="72" t="str">
        <x:v>0.5</x:v>
      </x:c>
      <x:c r="AX38" s="72" t="str">
        <x:v>0.7</x:v>
      </x:c>
      <x:c r="AY38" s="72" t="str">
        <x:v>0.25</x:v>
      </x:c>
      <x:c r="AZ38" s="72" t="str">
        <x:v>0.004</x:v>
      </x:c>
      <x:c r="BA38" s="72" t="str">
        <x:v>0.05</x:v>
      </x:c>
      <x:c r="BB38" s="72" t="str">
        <x:v>0.15</x:v>
      </x:c>
      <x:c r="BC38" s="72" t="str">
        <x:v>0.7</x:v>
      </x:c>
      <x:c r="BD38" s="72" t="str">
        <x:v>0.05</x:v>
      </x:c>
      <x:c r="BE38" s="72" t="str">
        <x:v>0.15</x:v>
      </x:c>
      <x:c r="BF38" s="14" t="str">
        <x:v>0.6</x:v>
      </x:c>
      <x:c r="BG38" s="72" t="str">
        <x:v>0.35</x:v>
      </x:c>
      <x:c r="BH38" s="74" t="str">
        <x:v>0.6823300710551012</x:v>
      </x:c>
      <x:c r="BI38" s="47" t="str">
        <x:v>Common scenario elasticity + issuer SEC CapEx/CFO dependency scale</x:v>
      </x:c>
      <x:c r="BJ38" s="47" t="str">
        <x:v>Modeled estimate using observed inputs + disclosed assumptions</x:v>
      </x:c>
      <x:c r="BK38" s="14" t="str">
        <x:v>False</x:v>
      </x:c>
      <x:c r="BL38" s="14" t="str">
        <x:v>False</x:v>
      </x:c>
      <x:c r="BM38" s="14" t="str">
        <x:v>False</x:v>
      </x:c>
      <x:c r="BN38" s="47" t="str">
        <x:v>Conditional scenario sensitivity; not a forecast or probability</x:v>
      </x:c>
      <x:c r="BO38" s="66" t="str">
        <x:v>100.71420757449596</x:v>
      </x:c>
    </x:row>
    <x:row r="39">
      <x:c r="A39" s="14" t="str">
        <x:v>DE</x:v>
      </x:c>
      <x:c r="B39" s="14" t="str">
        <x:v>Industrials</x:v>
      </x:c>
      <x:c r="C39" s="14" t="str">
        <x:v>nz_vs_baseline</x:v>
      </x:c>
      <x:c r="D39" s="47" t="str">
        <x:v>Net Zero 2050 vs baseline</x:v>
      </x:c>
      <x:c r="E39" s="14" t="str">
        <x:v>Net Zero vs baseline</x:v>
      </x:c>
      <x:c r="F39" s="14" t="str">
        <x:v>net_zero_2050</x:v>
      </x:c>
      <x:c r="G39" s="14" t="str">
        <x:v>baseline</x:v>
      </x:c>
      <x:c r="H39" s="14" t="str">
        <x:v>2050</x:v>
      </x:c>
      <x:c r="I39" s="14" t="str">
        <x:v>base</x:v>
      </x:c>
      <x:c r="J39" s="14" t="str">
        <x:v>True</x:v>
      </x:c>
      <x:c r="K39" s="14" t="str">
        <x:v>CFP-2026-003-R17-20260804T234500Z</x:v>
      </x:c>
      <x:c r="L3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39" s="66" t="str">
        <x:v>-1.9549841909367482</x:v>
      </x:c>
      <x:c r="N39" s="68" t="str">
        <x:v>156035291063.10095</x:v>
      </x:c>
      <x:c r="O39" s="68" t="str">
        <x:v>152984825790.5352</x:v>
      </x:c>
      <x:c r="P39" s="68" t="str">
        <x:v>14871029621.789665</x:v>
      </x:c>
      <x:c r="Q39" s="68" t="str">
        <x:v>14470505568.625896</x:v>
      </x:c>
      <x:c r="R39" s="68" t="str">
        <x:v>-400524053.16376877</x:v>
      </x:c>
      <x:c r="S39" s="68" t="str">
        <x:v>8631149592.456448</x:v>
      </x:c>
      <x:c r="T39" s="66" t="str">
        <x:v>1.2870248468664833</x:v>
      </x:c>
      <x:c r="U39" s="66" t="str">
        <x:v>0.17809859200795042</x:v>
      </x:c>
      <x:c r="V39" s="66" t="str">
        <x:v>1.2281941278991821</x:v>
      </x:c>
      <x:c r="W39" s="68" t="str">
        <x:v>191393846.2173078</x:v>
      </x:c>
      <x:c r="X39" s="68" t="str">
        <x:v>26485094.37349263</x:v>
      </x:c>
      <x:c r="Y39" s="68" t="str">
        <x:v>182645112.57296863</x:v>
      </x:c>
      <x:c r="Z39" s="66" t="str">
        <x:v>-1.0858239995359489</x:v>
      </x:c>
      <x:c r="AA39" s="66" t="str">
        <x:v>-0.17584630869144383</x:v>
      </x:c>
      <x:c r="AB39" s="66" t="str">
        <x:v>-0.6933138827093557</x:v>
      </x:c>
      <x:c r="AC39" s="68" t="str">
        <x:v>50632964.62044141</x:v>
      </x:c>
      <x:c r="AD39" s="68" t="str">
        <x:v>16023995.584881146</x:v>
      </x:c>
      <x:c r="AE39" s="68" t="str">
        <x:v>124736886.01198527</x:v>
      </x:c>
      <x:c r="AF39" s="68" t="str">
        <x:v>638819.0264684393</x:v>
      </x:c>
      <x:c r="AG39" s="68" t="str">
        <x:v>25846275.347024187</x:v>
      </x:c>
      <x:c r="AH39" s="70" t="str">
        <x:v>353900.0</x:v>
      </x:c>
      <x:c r="AI39" s="70" t="str">
        <x:v>224000.0</x:v>
      </x:c>
      <x:c r="AJ39" s="70" t="str">
        <x:v>81736000.0</x:v>
      </x:c>
      <x:c r="AK39" s="68" t="str">
        <x:v>8079000000.0</x:v>
      </x:c>
      <x:c r="AL39" s="66" t="str">
        <x:v>0.1054287290454164</x:v>
      </x:c>
      <x:c r="AM39" s="70" t="str">
        <x:v>1.0</x:v>
      </x:c>
      <x:c r="AN39" s="70" t="str">
        <x:v>1.0</x:v>
      </x:c>
      <x:c r="AO39" s="66" t="str">
        <x:v>100.0</x:v>
      </x:c>
      <x:c r="AP39" s="14" t="str">
        <x:v>High</x:v>
      </x:c>
      <x:c r="AQ39" s="47" t="str">
        <x:v>Issuer facility-to-FEMA county match</x:v>
      </x:c>
      <x:c r="AR39" s="66" t="str">
        <x:v>0.1054287290454164</x:v>
      </x:c>
      <x:c r="AS39" s="66" t="str">
        <x:v>6.952114548720453</x:v>
      </x:c>
      <x:c r="AT39" s="66" t="str">
        <x:v>0.0</x:v>
      </x:c>
      <x:c r="AU39" s="66" t="str">
        <x:v>7.853230639934694</x:v>
      </x:c>
      <x:c r="AV39" s="66" t="str">
        <x:v>2.1999999999999997</x:v>
      </x:c>
      <x:c r="AW39" s="72" t="str">
        <x:v>0.75</x:v>
      </x:c>
      <x:c r="AX39" s="72" t="str">
        <x:v>0.5</x:v>
      </x:c>
      <x:c r="AY39" s="72" t="str">
        <x:v>0.5</x:v>
      </x:c>
      <x:c r="AZ39" s="72" t="str">
        <x:v>0.008</x:v>
      </x:c>
      <x:c r="BA39" s="72" t="str">
        <x:v>0.03</x:v>
      </x:c>
      <x:c r="BB39" s="72" t="str">
        <x:v>0.25</x:v>
      </x:c>
      <x:c r="BC39" s="72" t="str">
        <x:v>0.5</x:v>
      </x:c>
      <x:c r="BD39" s="72" t="str">
        <x:v>0.1</x:v>
      </x:c>
      <x:c r="BE39" s="72" t="str">
        <x:v>0.25</x:v>
      </x:c>
      <x:c r="BF39" s="14" t="str">
        <x:v>0.6</x:v>
      </x:c>
      <x:c r="BG39" s="72" t="str">
        <x:v>0.6</x:v>
      </x:c>
      <x:c r="BH39" s="74" t="str">
        <x:v>0.6823300710551012</x:v>
      </x:c>
      <x:c r="BI39" s="47" t="str">
        <x:v>Common scenario elasticity + issuer SEC CapEx/CFO dependency scale</x:v>
      </x:c>
      <x:c r="BJ39" s="47" t="str">
        <x:v>Modeled estimate using observed inputs + disclosed assumptions</x:v>
      </x:c>
      <x:c r="BK39" s="14" t="str">
        <x:v>False</x:v>
      </x:c>
      <x:c r="BL39" s="14" t="str">
        <x:v>False</x:v>
      </x:c>
      <x:c r="BM39" s="14" t="str">
        <x:v>False</x:v>
      </x:c>
      <x:c r="BN39" s="47" t="str">
        <x:v>Conditional scenario sensitivity; not a forecast or probability</x:v>
      </x:c>
      <x:c r="BO39" s="66" t="str">
        <x:v>101.99396590923496</x:v>
      </x:c>
    </x:row>
    <x:row r="40">
      <x:c r="A40" s="14" t="str">
        <x:v>DE</x:v>
      </x:c>
      <x:c r="B40" s="14" t="str">
        <x:v>Industrials</x:v>
      </x:c>
      <x:c r="C40" s="14" t="str">
        <x:v>nz_vs_baseline</x:v>
      </x:c>
      <x:c r="D40" s="47" t="str">
        <x:v>Net Zero 2050 vs baseline</x:v>
      </x:c>
      <x:c r="E40" s="14" t="str">
        <x:v>Net Zero vs baseline</x:v>
      </x:c>
      <x:c r="F40" s="14" t="str">
        <x:v>net_zero_2050</x:v>
      </x:c>
      <x:c r="G40" s="14" t="str">
        <x:v>baseline</x:v>
      </x:c>
      <x:c r="H40" s="14" t="str">
        <x:v>2050</x:v>
      </x:c>
      <x:c r="I40" s="14" t="str">
        <x:v>high</x:v>
      </x:c>
      <x:c r="J40" s="14" t="str">
        <x:v>True</x:v>
      </x:c>
      <x:c r="K40" s="14" t="str">
        <x:v>CFP-2026-003-R17-20260804T234500Z</x:v>
      </x:c>
      <x:c r="L4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0" s="66" t="str">
        <x:v>-5.604546374964647</x:v>
      </x:c>
      <x:c r="N40" s="68" t="str">
        <x:v>156035291063.10095</x:v>
      </x:c>
      <x:c r="O40" s="68" t="str">
        <x:v>147290220814.1584</x:v>
      </x:c>
      <x:c r="P40" s="68" t="str">
        <x:v>14871029621.789665</x:v>
      </x:c>
      <x:c r="Q40" s="68" t="str">
        <x:v>13668788377.337173</x:v>
      </x:c>
      <x:c r="R40" s="68" t="str">
        <x:v>-1202241244.4524918</x:v>
      </x:c>
      <x:c r="S40" s="68" t="str">
        <x:v>8631149592.456448</x:v>
      </x:c>
      <x:c r="T40" s="66" t="str">
        <x:v>5.473173647872062</x:v>
      </x:c>
      <x:c r="U40" s="66" t="str">
        <x:v>0.5642880903656212</x:v>
      </x:c>
      <x:c r="V40" s="66" t="str">
        <x:v>2.0469902131653037</x:v>
      </x:c>
      <x:c r="W40" s="68" t="str">
        <x:v>813917274.4270403</x:v>
      </x:c>
      <x:c r="X40" s="68" t="str">
        <x:v>83915449.07050277</x:v>
      </x:c>
      <x:c r="Y40" s="68" t="str">
        <x:v>304408520.9549477</x:v>
      </x:c>
      <x:c r="Z40" s="66" t="str">
        <x:v>-3.8899329702633203</x:v>
      </x:c>
      <x:c r="AA40" s="66" t="str">
        <x:v>-0.5590902668524088</x:v>
      </x:c>
      <x:c r="AB40" s="66" t="str">
        <x:v>-1.1555231378489208</x:v>
      </x:c>
      <x:c r="AC40" s="68" t="str">
        <x:v>157429688.87372932</x:v>
      </x:c>
      <x:c r="AD40" s="68" t="str">
        <x:v>74733505.87958893</x:v>
      </x:c>
      <x:c r="AE40" s="68" t="str">
        <x:v>581754079.673722</x:v>
      </x:c>
      <x:c r="AF40" s="68" t="str">
        <x:v>1207367.96002535</x:v>
      </x:c>
      <x:c r="AG40" s="68" t="str">
        <x:v>82708081.11047742</x:v>
      </x:c>
      <x:c r="AH40" s="70" t="str">
        <x:v>353900.0</x:v>
      </x:c>
      <x:c r="AI40" s="70" t="str">
        <x:v>224000.0</x:v>
      </x:c>
      <x:c r="AJ40" s="70" t="str">
        <x:v>81736000.0</x:v>
      </x:c>
      <x:c r="AK40" s="68" t="str">
        <x:v>8079000000.0</x:v>
      </x:c>
      <x:c r="AL40" s="66" t="str">
        <x:v>0.1054287290454164</x:v>
      </x:c>
      <x:c r="AM40" s="70" t="str">
        <x:v>1.0</x:v>
      </x:c>
      <x:c r="AN40" s="70" t="str">
        <x:v>1.0</x:v>
      </x:c>
      <x:c r="AO40" s="66" t="str">
        <x:v>100.0</x:v>
      </x:c>
      <x:c r="AP40" s="14" t="str">
        <x:v>High</x:v>
      </x:c>
      <x:c r="AQ40" s="47" t="str">
        <x:v>Issuer facility-to-FEMA county match</x:v>
      </x:c>
      <x:c r="AR40" s="66" t="str">
        <x:v>0.1054287290454164</x:v>
      </x:c>
      <x:c r="AS40" s="66" t="str">
        <x:v>6.952114548720453</x:v>
      </x:c>
      <x:c r="AT40" s="66" t="str">
        <x:v>0.0</x:v>
      </x:c>
      <x:c r="AU40" s="66" t="str">
        <x:v>7.853230639934694</x:v>
      </x:c>
      <x:c r="AV40" s="66" t="str">
        <x:v>2.1999999999999997</x:v>
      </x:c>
      <x:c r="AW40" s="72" t="str">
        <x:v>1.0</x:v>
      </x:c>
      <x:c r="AX40" s="72" t="str">
        <x:v>0.3</x:v>
      </x:c>
      <x:c r="AY40" s="72" t="str">
        <x:v>0.75</x:v>
      </x:c>
      <x:c r="AZ40" s="72" t="str">
        <x:v>0.016</x:v>
      </x:c>
      <x:c r="BA40" s="72" t="str">
        <x:v>0.01</x:v>
      </x:c>
      <x:c r="BB40" s="72" t="str">
        <x:v>0.3375</x:v>
      </x:c>
      <x:c r="BC40" s="72" t="str">
        <x:v>0.3</x:v>
      </x:c>
      <x:c r="BD40" s="72" t="str">
        <x:v>0.2</x:v>
      </x:c>
      <x:c r="BE40" s="72" t="str">
        <x:v>0.4</x:v>
      </x:c>
      <x:c r="BF40" s="14" t="str">
        <x:v>0.6</x:v>
      </x:c>
      <x:c r="BG40" s="72" t="str">
        <x:v>1.0</x:v>
      </x:c>
      <x:c r="BH40" s="74" t="str">
        <x:v>0.6823300710551012</x:v>
      </x:c>
      <x:c r="BI40" s="47" t="str">
        <x:v>Common scenario elasticity + issuer SEC CapEx/CFO dependency scale</x:v>
      </x:c>
      <x:c r="BJ40" s="47" t="str">
        <x:v>Modeled estimate using observed inputs + disclosed assumptions</x:v>
      </x:c>
      <x:c r="BK40" s="14" t="str">
        <x:v>False</x:v>
      </x:c>
      <x:c r="BL40" s="14" t="str">
        <x:v>False</x:v>
      </x:c>
      <x:c r="BM40" s="14" t="str">
        <x:v>False</x:v>
      </x:c>
      <x:c r="BN40" s="47" t="str">
        <x:v>Conditional scenario sensitivity; not a forecast or probability</x:v>
      </x:c>
      <x:c r="BO40" s="66" t="str">
        <x:v>105.9373054100968</x:v>
      </x:c>
    </x:row>
    <x:row r="41">
      <x:c r="A41" s="14" t="str">
        <x:v>DUK</x:v>
      </x:c>
      <x:c r="B41" s="14" t="str">
        <x:v>Utilities</x:v>
      </x:c>
      <x:c r="C41" s="14" t="str">
        <x:v>nz_vs_baseline</x:v>
      </x:c>
      <x:c r="D41" s="47" t="str">
        <x:v>Net Zero 2050 vs baseline</x:v>
      </x:c>
      <x:c r="E41" s="14" t="str">
        <x:v>Net Zero vs baseline</x:v>
      </x:c>
      <x:c r="F41" s="14" t="str">
        <x:v>net_zero_2050</x:v>
      </x:c>
      <x:c r="G41" s="14" t="str">
        <x:v>baseline</x:v>
      </x:c>
      <x:c r="H41" s="14" t="str">
        <x:v>2050</x:v>
      </x:c>
      <x:c r="I41" s="14" t="str">
        <x:v>low</x:v>
      </x:c>
      <x:c r="J41" s="14" t="str">
        <x:v>True</x:v>
      </x:c>
      <x:c r="K41" s="14" t="str">
        <x:v>CFP-2026-003-R17-20260804T234500Z</x:v>
      </x:c>
      <x:c r="L4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1" s="66" t="str">
        <x:v>-97.45902133993421</x:v>
      </x:c>
      <x:c r="N41" s="68" t="str">
        <x:v>50132194683.06894</x:v>
      </x:c>
      <x:c r="O41" s="68" t="str">
        <x:v>1273848368.719422</x:v>
      </x:c>
      <x:c r="P41" s="68" t="str">
        <x:v>2512681140.1064544</x:v>
      </x:c>
      <x:c r="Q41" s="68" t="str">
        <x:v>0.0</x:v>
      </x:c>
      <x:c r="R41" s="68" t="str">
        <x:v>-2512681140.1064544</x:v>
      </x:c>
      <x:c r="S41" s="68" t="str">
        <x:v>1531556722.6890755</x:v>
      </x:c>
      <x:c r="T41" s="66" t="str">
        <x:v>108.17616890575026</x:v>
      </x:c>
      <x:c r="U41" s="66" t="str">
        <x:v>0.689932556712791</x:v>
      </x:c>
      <x:c r="V41" s="66" t="str">
        <x:v>1.7192579075425791</x:v>
      </x:c>
      <x:c r="W41" s="68" t="str">
        <x:v>2718122194.1844893</x:v>
      </x:c>
      <x:c r="X41" s="68" t="str">
        <x:v>17335805.231976565</x:v>
      </x:c>
      <x:c r="Y41" s="68" t="str">
        <x:v>43199469.19261125</x:v>
      </x:c>
      <x:c r="Z41" s="66" t="str">
        <x:v>-96.56469415151828</x:v>
      </x:c>
      <x:c r="AA41" s="66" t="str">
        <x:v>-0.27517120475203327</x:v>
      </x:c>
      <x:c r="AB41" s="66" t="str">
        <x:v>-0.6191559836638749</x:v>
      </x:c>
      <x:c r="AC41" s="68" t="str">
        <x:v>2711270979.400874</x:v>
      </x:c>
      <x:c r="AD41" s="68" t="str">
        <x:v>2158655.238376492</x:v>
      </x:c>
      <x:c r="AE41" s="68" t="str">
        <x:v>4692559.545238322</x:v>
      </x:c>
      <x:c r="AF41" s="68" t="str">
        <x:v>16025671.698694346</x:v>
      </x:c>
      <x:c r="AG41" s="68" t="str">
        <x:v>1310133.5332822183</x:v>
      </x:c>
      <x:c r="AH41" s="70" t="str">
        <x:v>79756000.0</x:v>
      </x:c>
      <x:c r="AI41" s="70" t="str">
        <x:v>254000.0</x:v>
      </x:c>
      <x:c r="AJ41" s="70" t="str">
        <x:v>27607700.0</x:v>
      </x:c>
      <x:c r="AK41" s="68" t="str">
        <x:v>129959000000.0</x:v>
      </x:c>
      <x:c r="AL41" s="66" t="str">
        <x:v>0.17565995555046018</x:v>
      </x:c>
      <x:c r="AM41" s="70" t="str">
        <x:v>48.0</x:v>
      </x:c>
      <x:c r="AN41" s="70" t="str">
        <x:v>49.0</x:v>
      </x:c>
      <x:c r="AO41" s="66" t="str">
        <x:v>97.95918367346938</x:v>
      </x:c>
      <x:c r="AP41" s="14" t="str">
        <x:v>High</x:v>
      </x:c>
      <x:c r="AQ41" s="47" t="str">
        <x:v>Issuer facility-to-FEMA county match</x:v>
      </x:c>
      <x:c r="AR41" s="66" t="str">
        <x:v>0.17565995555046018</x:v>
      </x:c>
      <x:c r="AS41" s="66" t="str">
        <x:v>6.952114548720453</x:v>
      </x:c>
      <x:c r="AT41" s="66" t="str">
        <x:v>0.0</x:v>
      </x:c>
      <x:c r="AU41" s="66" t="str">
        <x:v>5.116136979477691</x:v>
      </x:c>
      <x:c r="AV41" s="66" t="str">
        <x:v>2.0</x:v>
      </x:c>
      <x:c r="AW41" s="72" t="str">
        <x:v>0.5</x:v>
      </x:c>
      <x:c r="AX41" s="72" t="str">
        <x:v>0.7</x:v>
      </x:c>
      <x:c r="AY41" s="72" t="str">
        <x:v>0.25</x:v>
      </x:c>
      <x:c r="AZ41" s="72" t="str">
        <x:v>0.0025</x:v>
      </x:c>
      <x:c r="BA41" s="72" t="str">
        <x:v>0.05</x:v>
      </x:c>
      <x:c r="BB41" s="72" t="str">
        <x:v>0.39</x:v>
      </x:c>
      <x:c r="BC41" s="72" t="str">
        <x:v>0.7</x:v>
      </x:c>
      <x:c r="BD41" s="72" t="str">
        <x:v>0.05</x:v>
      </x:c>
      <x:c r="BE41" s="72" t="str">
        <x:v>0.15</x:v>
      </x:c>
      <x:c r="BF41" s="14" t="str">
        <x:v>0.6</x:v>
      </x:c>
      <x:c r="BG41" s="72" t="str">
        <x:v>0.35</x:v>
      </x:c>
      <x:c r="BH41" s="74" t="str">
        <x:v>1.6373884833738848</x:v>
      </x:c>
      <x:c r="BI41" s="47" t="str">
        <x:v>Common scenario elasticity + issuer SEC CapEx/CFO dependency scale</x:v>
      </x:c>
      <x:c r="BJ41" s="47" t="str">
        <x:v>Modeled estimate using observed inputs + disclosed assumptions</x:v>
      </x:c>
      <x:c r="BK41" s="14" t="str">
        <x:v>False</x:v>
      </x:c>
      <x:c r="BL41" s="14" t="str">
        <x:v>False</x:v>
      </x:c>
      <x:c r="BM41" s="14" t="str">
        <x:v>False</x:v>
      </x:c>
      <x:c r="BN41" s="47" t="str">
        <x:v>Conditional scenario sensitivity; not a forecast or probability</x:v>
      </x:c>
      <x:c r="BO41" s="66" t="str">
        <x:v>3935.491532125285</x:v>
      </x:c>
    </x:row>
    <x:row r="42">
      <x:c r="A42" s="14" t="str">
        <x:v>DUK</x:v>
      </x:c>
      <x:c r="B42" s="14" t="str">
        <x:v>Utilities</x:v>
      </x:c>
      <x:c r="C42" s="14" t="str">
        <x:v>nz_vs_baseline</x:v>
      </x:c>
      <x:c r="D42" s="47" t="str">
        <x:v>Net Zero 2050 vs baseline</x:v>
      </x:c>
      <x:c r="E42" s="14" t="str">
        <x:v>Net Zero vs baseline</x:v>
      </x:c>
      <x:c r="F42" s="14" t="str">
        <x:v>net_zero_2050</x:v>
      </x:c>
      <x:c r="G42" s="14" t="str">
        <x:v>baseline</x:v>
      </x:c>
      <x:c r="H42" s="14" t="str">
        <x:v>2050</x:v>
      </x:c>
      <x:c r="I42" s="14" t="str">
        <x:v>base</x:v>
      </x:c>
      <x:c r="J42" s="14" t="str">
        <x:v>True</x:v>
      </x:c>
      <x:c r="K42" s="14" t="str">
        <x:v>CFP-2026-003-R17-20260804T234500Z</x:v>
      </x:c>
      <x:c r="L4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2" s="66" t="str">
        <x:v>-100.0</x:v>
      </x:c>
      <x:c r="N42" s="68" t="str">
        <x:v>50132194683.06894</x:v>
      </x:c>
      <x:c r="O42" s="68" t="str">
        <x:v>0.0</x:v>
      </x:c>
      <x:c r="P42" s="68" t="str">
        <x:v>2512681140.1064544</x:v>
      </x:c>
      <x:c r="Q42" s="68" t="str">
        <x:v>0.0</x:v>
      </x:c>
      <x:c r="R42" s="68" t="str">
        <x:v>-2512681140.1064544</x:v>
      </x:c>
      <x:c r="S42" s="68" t="str">
        <x:v>1531556722.6890755</x:v>
      </x:c>
      <x:c r="T42" s="66" t="str">
        <x:v>455.8996394973159</x:v>
      </x:c>
      <x:c r="U42" s="66" t="str">
        <x:v>1.9454464681551982</x:v>
      </x:c>
      <x:c r="V42" s="66" t="str">
        <x:v>2.947299270072993</x:v>
      </x:c>
      <x:c r="W42" s="68" t="str">
        <x:v>11455304259.462372</x:v>
      </x:c>
      <x:c r="X42" s="68" t="str">
        <x:v>48882866.49620279</x:v>
      </x:c>
      <x:c r="Y42" s="68" t="str">
        <x:v>74056232.90161929</x:v>
      </x:c>
      <x:c r="Z42" s="66" t="str">
        <x:v>-98.18544184902251</x:v>
      </x:c>
      <x:c r="AA42" s="66" t="str">
        <x:v>-0.7632227007975809</x:v>
      </x:c>
      <x:c r="AB42" s="66" t="str">
        <x:v>-1.0513354501799212</x:v>
      </x:c>
      <x:c r="AC42" s="68" t="str">
        <x:v>11410801713.105186</x:v>
      </x:c>
      <x:c r="AD42" s="68" t="str">
        <x:v>18170066.422142014</x:v>
      </x:c>
      <x:c r="AE42" s="68" t="str">
        <x:v>26332479.935043048</x:v>
      </x:c>
      <x:c r="AF42" s="68" t="str">
        <x:v>44515754.71859539</x:v>
      </x:c>
      <x:c r="AG42" s="68" t="str">
        <x:v>4367111.777607394</x:v>
      </x:c>
      <x:c r="AH42" s="70" t="str">
        <x:v>79756000.0</x:v>
      </x:c>
      <x:c r="AI42" s="70" t="str">
        <x:v>254000.0</x:v>
      </x:c>
      <x:c r="AJ42" s="70" t="str">
        <x:v>27607700.0</x:v>
      </x:c>
      <x:c r="AK42" s="68" t="str">
        <x:v>129959000000.0</x:v>
      </x:c>
      <x:c r="AL42" s="66" t="str">
        <x:v>0.17565995555046018</x:v>
      </x:c>
      <x:c r="AM42" s="70" t="str">
        <x:v>48.0</x:v>
      </x:c>
      <x:c r="AN42" s="70" t="str">
        <x:v>49.0</x:v>
      </x:c>
      <x:c r="AO42" s="66" t="str">
        <x:v>97.95918367346938</x:v>
      </x:c>
      <x:c r="AP42" s="14" t="str">
        <x:v>High</x:v>
      </x:c>
      <x:c r="AQ42" s="47" t="str">
        <x:v>Issuer facility-to-FEMA county match</x:v>
      </x:c>
      <x:c r="AR42" s="66" t="str">
        <x:v>0.17565995555046018</x:v>
      </x:c>
      <x:c r="AS42" s="66" t="str">
        <x:v>6.952114548720453</x:v>
      </x:c>
      <x:c r="AT42" s="66" t="str">
        <x:v>0.0</x:v>
      </x:c>
      <x:c r="AU42" s="66" t="str">
        <x:v>5.116136979477691</x:v>
      </x:c>
      <x:c r="AV42" s="66" t="str">
        <x:v>2.0</x:v>
      </x:c>
      <x:c r="AW42" s="72" t="str">
        <x:v>0.75</x:v>
      </x:c>
      <x:c r="AX42" s="72" t="str">
        <x:v>0.5</x:v>
      </x:c>
      <x:c r="AY42" s="72" t="str">
        <x:v>0.5</x:v>
      </x:c>
      <x:c r="AZ42" s="72" t="str">
        <x:v>0.005</x:v>
      </x:c>
      <x:c r="BA42" s="72" t="str">
        <x:v>0.03</x:v>
      </x:c>
      <x:c r="BB42" s="72" t="str">
        <x:v>0.65</x:v>
      </x:c>
      <x:c r="BC42" s="72" t="str">
        <x:v>0.5</x:v>
      </x:c>
      <x:c r="BD42" s="72" t="str">
        <x:v>0.1</x:v>
      </x:c>
      <x:c r="BE42" s="72" t="str">
        <x:v>0.25</x:v>
      </x:c>
      <x:c r="BF42" s="14" t="str">
        <x:v>0.6</x:v>
      </x:c>
      <x:c r="BG42" s="72" t="str">
        <x:v>0.6</x:v>
      </x:c>
      <x:c r="BH42" s="74" t="str">
        <x:v>1.6373884833738848</x:v>
      </x:c>
      <x:c r="BI42" s="47" t="str">
        <x:v>Common scenario elasticity + issuer SEC CapEx/CFO dependency scale</x:v>
      </x:c>
      <x:c r="BJ42" s="47" t="str">
        <x:v>Modeled estimate using observed inputs + disclosed assumptions</x:v>
      </x:c>
      <x:c r="BK42" s="14" t="str">
        <x:v>True</x:v>
      </x:c>
      <x:c r="BL42" s="14" t="str">
        <x:v>False</x:v>
      </x:c>
      <x:c r="BM42" s="14" t="str">
        <x:v>True</x:v>
      </x:c>
      <x:c r="BN42" s="47" t="str">
        <x:v>Target EV hit the model zero-value floor; boundary stress result</x:v>
      </x:c>
      <x:c r="BO42" s="66" t="str"/>
    </x:row>
    <x:row r="43">
      <x:c r="A43" s="14" t="str">
        <x:v>DUK</x:v>
      </x:c>
      <x:c r="B43" s="14" t="str">
        <x:v>Utilities</x:v>
      </x:c>
      <x:c r="C43" s="14" t="str">
        <x:v>nz_vs_baseline</x:v>
      </x:c>
      <x:c r="D43" s="47" t="str">
        <x:v>Net Zero 2050 vs baseline</x:v>
      </x:c>
      <x:c r="E43" s="14" t="str">
        <x:v>Net Zero vs baseline</x:v>
      </x:c>
      <x:c r="F43" s="14" t="str">
        <x:v>net_zero_2050</x:v>
      </x:c>
      <x:c r="G43" s="14" t="str">
        <x:v>baseline</x:v>
      </x:c>
      <x:c r="H43" s="14" t="str">
        <x:v>2050</x:v>
      </x:c>
      <x:c r="I43" s="14" t="str">
        <x:v>high</x:v>
      </x:c>
      <x:c r="J43" s="14" t="str">
        <x:v>True</x:v>
      </x:c>
      <x:c r="K43" s="14" t="str">
        <x:v>CFP-2026-003-R17-20260804T234500Z</x:v>
      </x:c>
      <x:c r="L4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3" s="66" t="str">
        <x:v>-100.0</x:v>
      </x:c>
      <x:c r="N43" s="68" t="str">
        <x:v>50132194683.06894</x:v>
      </x:c>
      <x:c r="O43" s="68" t="str">
        <x:v>0.0</x:v>
      </x:c>
      <x:c r="P43" s="68" t="str">
        <x:v>2512681140.1064544</x:v>
      </x:c>
      <x:c r="Q43" s="68" t="str">
        <x:v>0.0</x:v>
      </x:c>
      <x:c r="R43" s="68" t="str">
        <x:v>-2512681140.1064544</x:v>
      </x:c>
      <x:c r="S43" s="68" t="str">
        <x:v>1531556722.6890755</x:v>
      </x:c>
      <x:c r="T43" s="66" t="str">
        <x:v>1420.251652567063</x:v>
      </x:c>
      <x:c r="U43" s="66" t="str">
        <x:v>3.9045755762839187</x:v>
      </x:c>
      <x:c r="V43" s="66" t="str">
        <x:v>4.9121654501216545</x:v>
      </x:c>
      <x:c r="W43" s="68" t="str">
        <x:v>35686395416.10284</x:v>
      </x:c>
      <x:c r="X43" s="68" t="str">
        <x:v>98109534.10648894</x:v>
      </x:c>
      <x:c r="Y43" s="68" t="str">
        <x:v>123427054.83603214</x:v>
      </x:c>
      <x:c r="Z43" s="66" t="str">
        <x:v>-96.69169126006398</x:v>
      </x:c>
      <x:c r="AA43" s="66" t="str">
        <x:v>-1.5560829896361414</x:v>
      </x:c>
      <x:c r="AB43" s="66" t="str">
        <x:v>-1.7522257502998777</x:v>
      </x:c>
      <x:c r="AC43" s="68" t="str">
        <x:v>35478842231.74104</x:v>
      </x:c>
      <x:c r="AD43" s="68" t="str">
        <x:v>84742457.55989103</x:v>
      </x:c>
      <x:c r="AE43" s="68" t="str">
        <x:v>122810726.80190045</x:v>
      </x:c>
      <x:c r="AF43" s="68" t="str">
        <x:v>84134776.41814528</x:v>
      </x:c>
      <x:c r="AG43" s="68" t="str">
        <x:v>13974757.688343663</x:v>
      </x:c>
      <x:c r="AH43" s="70" t="str">
        <x:v>79756000.0</x:v>
      </x:c>
      <x:c r="AI43" s="70" t="str">
        <x:v>254000.0</x:v>
      </x:c>
      <x:c r="AJ43" s="70" t="str">
        <x:v>27607700.0</x:v>
      </x:c>
      <x:c r="AK43" s="68" t="str">
        <x:v>129959000000.0</x:v>
      </x:c>
      <x:c r="AL43" s="66" t="str">
        <x:v>0.17565995555046018</x:v>
      </x:c>
      <x:c r="AM43" s="70" t="str">
        <x:v>48.0</x:v>
      </x:c>
      <x:c r="AN43" s="70" t="str">
        <x:v>49.0</x:v>
      </x:c>
      <x:c r="AO43" s="66" t="str">
        <x:v>97.95918367346938</x:v>
      </x:c>
      <x:c r="AP43" s="14" t="str">
        <x:v>High</x:v>
      </x:c>
      <x:c r="AQ43" s="47" t="str">
        <x:v>Issuer facility-to-FEMA county match</x:v>
      </x:c>
      <x:c r="AR43" s="66" t="str">
        <x:v>0.17565995555046018</x:v>
      </x:c>
      <x:c r="AS43" s="66" t="str">
        <x:v>6.952114548720453</x:v>
      </x:c>
      <x:c r="AT43" s="66" t="str">
        <x:v>0.0</x:v>
      </x:c>
      <x:c r="AU43" s="66" t="str">
        <x:v>5.116136979477691</x:v>
      </x:c>
      <x:c r="AV43" s="66" t="str">
        <x:v>2.0</x:v>
      </x:c>
      <x:c r="AW43" s="72" t="str">
        <x:v>1.0</x:v>
      </x:c>
      <x:c r="AX43" s="72" t="str">
        <x:v>0.3</x:v>
      </x:c>
      <x:c r="AY43" s="72" t="str">
        <x:v>0.75</x:v>
      </x:c>
      <x:c r="AZ43" s="72" t="str">
        <x:v>0.01</x:v>
      </x:c>
      <x:c r="BA43" s="72" t="str">
        <x:v>0.01</x:v>
      </x:c>
      <x:c r="BB43" s="72" t="str">
        <x:v>0.8775000000000001</x:v>
      </x:c>
      <x:c r="BC43" s="72" t="str">
        <x:v>0.3</x:v>
      </x:c>
      <x:c r="BD43" s="72" t="str">
        <x:v>0.2</x:v>
      </x:c>
      <x:c r="BE43" s="72" t="str">
        <x:v>0.4</x:v>
      </x:c>
      <x:c r="BF43" s="14" t="str">
        <x:v>0.6</x:v>
      </x:c>
      <x:c r="BG43" s="72" t="str">
        <x:v>1.0</x:v>
      </x:c>
      <x:c r="BH43" s="74" t="str">
        <x:v>1.6373884833738848</x:v>
      </x:c>
      <x:c r="BI43" s="47" t="str">
        <x:v>Common scenario elasticity + issuer SEC CapEx/CFO dependency scale</x:v>
      </x:c>
      <x:c r="BJ43" s="47" t="str">
        <x:v>Modeled estimate using observed inputs + disclosed assumptions</x:v>
      </x:c>
      <x:c r="BK43" s="14" t="str">
        <x:v>True</x:v>
      </x:c>
      <x:c r="BL43" s="14" t="str">
        <x:v>False</x:v>
      </x:c>
      <x:c r="BM43" s="14" t="str">
        <x:v>True</x:v>
      </x:c>
      <x:c r="BN43" s="47" t="str">
        <x:v>Target EV hit the model zero-value floor; boundary stress result</x:v>
      </x:c>
      <x:c r="BO43" s="66" t="str"/>
    </x:row>
    <x:row r="44">
      <x:c r="A44" s="14" t="str">
        <x:v>MSFT</x:v>
      </x:c>
      <x:c r="B44" s="14" t="str">
        <x:v>Technology</x:v>
      </x:c>
      <x:c r="C44" s="14" t="str">
        <x:v>nz_vs_baseline</x:v>
      </x:c>
      <x:c r="D44" s="47" t="str">
        <x:v>Net Zero 2050 vs baseline</x:v>
      </x:c>
      <x:c r="E44" s="14" t="str">
        <x:v>Net Zero vs baseline</x:v>
      </x:c>
      <x:c r="F44" s="14" t="str">
        <x:v>net_zero_2050</x:v>
      </x:c>
      <x:c r="G44" s="14" t="str">
        <x:v>baseline</x:v>
      </x:c>
      <x:c r="H44" s="14" t="str">
        <x:v>2050</x:v>
      </x:c>
      <x:c r="I44" s="14" t="str">
        <x:v>low</x:v>
      </x:c>
      <x:c r="J44" s="14" t="str">
        <x:v>True</x:v>
      </x:c>
      <x:c r="K44" s="14" t="str">
        <x:v>CFP-2026-003-R17-20260804T234500Z</x:v>
      </x:c>
      <x:c r="L4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4" s="66" t="str">
        <x:v>-0.5798128595401297</x:v>
      </x:c>
      <x:c r="N44" s="68" t="str">
        <x:v>1056700433995.6056</x:v>
      </x:c>
      <x:c r="O44" s="68" t="str">
        <x:v>1050573548992.4827</x:v>
      </x:c>
      <x:c r="P44" s="68" t="str">
        <x:v>136222325961.35968</x:v>
      </x:c>
      <x:c r="Q44" s="68" t="str">
        <x:v>134735569875.47815</x:v>
      </x:c>
      <x:c r="R44" s="68" t="str">
        <x:v>-1486756085.8815308</x:v>
      </x:c>
      <x:c r="S44" s="68" t="str">
        <x:v>73477040696.4498</x:v>
      </x:c>
      <x:c r="T44" s="66" t="str">
        <x:v>0.012754172305111595</x:v>
      </x:c>
      <x:c r="U44" s="66" t="str">
        <x:v>0.05588588659040104</x:v>
      </x:c>
      <x:c r="V44" s="66" t="str">
        <x:v>1.0227787488432896</x:v>
      </x:c>
      <x:c r="W44" s="68" t="str">
        <x:v>17374030.171142578</x:v>
      </x:c>
      <x:c r="X44" s="68" t="str">
        <x:v>76129054.59757191</x:v>
      </x:c>
      <x:c r="Y44" s="68" t="str">
        <x:v>1393253001.112822</x:v>
      </x:c>
      <x:c r="Z44" s="66" t="str">
        <x:v>-0.01363788369573262</x:v>
      </x:c>
      <x:c r="AA44" s="66" t="str">
        <x:v>-0.05411628605042931</x:v>
      </x:c>
      <x:c r="AB44" s="66" t="str">
        <x:v>-0.5120586897939718</x:v>
      </x:c>
      <x:c r="AC44" s="68" t="str">
        <x:v>4878560.838730873</x:v>
      </x:c>
      <x:c r="AD44" s="68" t="str">
        <x:v>2201913.3295707298</x:v>
      </x:c>
      <x:c r="AE44" s="68" t="str">
        <x:v>10293556.002840973</x:v>
      </x:c>
      <x:c r="AF44" s="68" t="str">
        <x:v>5101563.534333759</x:v>
      </x:c>
      <x:c r="AG44" s="68" t="str">
        <x:v>71027491.06323814</x:v>
      </x:c>
      <x:c r="AH44" s="70" t="str">
        <x:v>143510.0</x:v>
      </x:c>
      <x:c r="AI44" s="70" t="str">
        <x:v>259090.0</x:v>
      </x:c>
      <x:c r="AJ44" s="70" t="str">
        <x:v>15140000.0</x:v>
      </x:c>
      <x:c r="AK44" s="68" t="str">
        <x:v>261126000000.0</x:v>
      </x:c>
      <x:c r="AL44" s="66" t="str">
        <x:v>0.18089619337783003</x:v>
      </x:c>
      <x:c r="AM44" s="70" t="str">
        <x:v>0.0</x:v>
      </x:c>
      <x:c r="AN44" s="70" t="str">
        <x:v>0.0</x:v>
      </x:c>
      <x:c r="AO44" s="66" t="str"/>
      <x:c r="AP44" s="14" t="str">
        <x:v>Unverified</x:v>
      </x:c>
      <x:c r="AQ44" s="47" t="str">
        <x:v>Proxy fallback; no issuer facilities in governed match file</x:v>
      </x:c>
      <x:c r="AR44" s="66" t="str"/>
      <x:c r="AS44" s="66" t="str">
        <x:v>6.952114548720453</x:v>
      </x:c>
      <x:c r="AT44" s="66" t="str">
        <x:v>0.0</x:v>
      </x:c>
      <x:c r="AU44" s="66" t="str">
        <x:v>9.627276973766637</x:v>
      </x:c>
      <x:c r="AV44" s="66" t="str">
        <x:v>2.5</x:v>
      </x:c>
      <x:c r="AW44" s="72" t="str">
        <x:v>0.5</x:v>
      </x:c>
      <x:c r="AX44" s="72" t="str">
        <x:v>0.7</x:v>
      </x:c>
      <x:c r="AY44" s="72" t="str">
        <x:v>0.25</x:v>
      </x:c>
      <x:c r="AZ44" s="72" t="str">
        <x:v>0.01</x:v>
      </x:c>
      <x:c r="BA44" s="72" t="str">
        <x:v>0.05</x:v>
      </x:c>
      <x:c r="BB44" s="72" t="str">
        <x:v>0.06</x:v>
      </x:c>
      <x:c r="BC44" s="72" t="str">
        <x:v>0.7</x:v>
      </x:c>
      <x:c r="BD44" s="72" t="str">
        <x:v>0.05</x:v>
      </x:c>
      <x:c r="BE44" s="72" t="str">
        <x:v>0.15</x:v>
      </x:c>
      <x:c r="BF44" s="14" t="str">
        <x:v>0.6</x:v>
      </x:c>
      <x:c r="BG44" s="72" t="str">
        <x:v>0.35</x:v>
      </x:c>
      <x:c r="BH44" s="74" t="str">
        <x:v>0.974074998898371</x:v>
      </x:c>
      <x:c r="BI44" s="47" t="str">
        <x:v>Common scenario elasticity + issuer SEC CapEx/CFO dependency scale</x:v>
      </x:c>
      <x:c r="BJ44" s="47" t="str">
        <x:v>Modeled estimate using observed inputs + disclosed assumptions</x:v>
      </x:c>
      <x:c r="BK44" s="14" t="str">
        <x:v>False</x:v>
      </x:c>
      <x:c r="BL44" s="14" t="str">
        <x:v>False</x:v>
      </x:c>
      <x:c r="BM44" s="14" t="str">
        <x:v>False</x:v>
      </x:c>
      <x:c r="BN44" s="47" t="str">
        <x:v>Conditional scenario sensitivity; not a forecast or probability</x:v>
      </x:c>
      <x:c r="BO44" s="66" t="str">
        <x:v>100.583194295059</x:v>
      </x:c>
    </x:row>
    <x:row r="45">
      <x:c r="A45" s="14" t="str">
        <x:v>MSFT</x:v>
      </x:c>
      <x:c r="B45" s="14" t="str">
        <x:v>Technology</x:v>
      </x:c>
      <x:c r="C45" s="14" t="str">
        <x:v>nz_vs_baseline</x:v>
      </x:c>
      <x:c r="D45" s="47" t="str">
        <x:v>Net Zero 2050 vs baseline</x:v>
      </x:c>
      <x:c r="E45" s="14" t="str">
        <x:v>Net Zero vs baseline</x:v>
      </x:c>
      <x:c r="F45" s="14" t="str">
        <x:v>net_zero_2050</x:v>
      </x:c>
      <x:c r="G45" s="14" t="str">
        <x:v>baseline</x:v>
      </x:c>
      <x:c r="H45" s="14" t="str">
        <x:v>2050</x:v>
      </x:c>
      <x:c r="I45" s="14" t="str">
        <x:v>base</x:v>
      </x:c>
      <x:c r="J45" s="14" t="str">
        <x:v>True</x:v>
      </x:c>
      <x:c r="K45" s="14" t="str">
        <x:v>CFP-2026-003-R17-20260804T234500Z</x:v>
      </x:c>
      <x:c r="L4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5" s="66" t="str">
        <x:v>-1.1167168782304948</x:v>
      </x:c>
      <x:c r="N45" s="68" t="str">
        <x:v>1056700433995.6056</x:v>
      </x:c>
      <x:c r="O45" s="68" t="str">
        <x:v>1044900081896.8418</x:v>
      </x:c>
      <x:c r="P45" s="68" t="str">
        <x:v>136222325961.35968</x:v>
      </x:c>
      <x:c r="Q45" s="68" t="str">
        <x:v>133486133884.79355</x:v>
      </x:c>
      <x:c r="R45" s="68" t="str">
        <x:v>-2736192076.5661316</x:v>
      </x:c>
      <x:c r="S45" s="68" t="str">
        <x:v>73477040696.4498</x:v>
      </x:c>
      <x:c r="T45" s="66" t="str">
        <x:v>0.07108162801336233</x:v>
      </x:c>
      <x:c r="U45" s="66" t="str">
        <x:v>0.18420571781522702</x:v>
      </x:c>
      <x:c r="V45" s="66" t="str">
        <x:v>1.7533349980170674</x:v>
      </x:c>
      <x:c r="W45" s="68" t="str">
        <x:v>96829047.01100358</x:v>
      </x:c>
      <x:c r="X45" s="68" t="str">
        <x:v>250929313.36172095</x:v>
      </x:c>
      <x:c r="Y45" s="68" t="str">
        <x:v>2388433716.193409</x:v>
      </x:c>
      <x:c r="Z45" s="66" t="str">
        <x:v>-0.05976346929781067</x:v>
      </x:c>
      <x:c r="AA45" s="66" t="str">
        <x:v>-0.17913851214299611</x:v>
      </x:c>
      <x:c r="AB45" s="66" t="str">
        <x:v>-0.8778148967896857</x:v>
      </x:c>
      <x:c r="AC45" s="68" t="str">
        <x:v>20532175.057020474</x:v>
      </x:c>
      <x:c r="AD45" s="68" t="str">
        <x:v>18534183.10753061</x:v>
      </x:c>
      <x:c r="AE45" s="68" t="str">
        <x:v>57762688.84645251</x:v>
      </x:c>
      <x:c r="AF45" s="68" t="str">
        <x:v>14171009.817593774</x:v>
      </x:c>
      <x:c r="AG45" s="68" t="str">
        <x:v>236758303.54412717</x:v>
      </x:c>
      <x:c r="AH45" s="70" t="str">
        <x:v>143510.0</x:v>
      </x:c>
      <x:c r="AI45" s="70" t="str">
        <x:v>259090.0</x:v>
      </x:c>
      <x:c r="AJ45" s="70" t="str">
        <x:v>15140000.0</x:v>
      </x:c>
      <x:c r="AK45" s="68" t="str">
        <x:v>261126000000.0</x:v>
      </x:c>
      <x:c r="AL45" s="66" t="str">
        <x:v>0.18089619337783003</x:v>
      </x:c>
      <x:c r="AM45" s="70" t="str">
        <x:v>0.0</x:v>
      </x:c>
      <x:c r="AN45" s="70" t="str">
        <x:v>0.0</x:v>
      </x:c>
      <x:c r="AO45" s="66" t="str"/>
      <x:c r="AP45" s="14" t="str">
        <x:v>Unverified</x:v>
      </x:c>
      <x:c r="AQ45" s="47" t="str">
        <x:v>Proxy fallback; no issuer facilities in governed match file</x:v>
      </x:c>
      <x:c r="AR45" s="66" t="str"/>
      <x:c r="AS45" s="66" t="str">
        <x:v>6.952114548720453</x:v>
      </x:c>
      <x:c r="AT45" s="66" t="str">
        <x:v>0.0</x:v>
      </x:c>
      <x:c r="AU45" s="66" t="str">
        <x:v>9.627276973766637</x:v>
      </x:c>
      <x:c r="AV45" s="66" t="str">
        <x:v>2.5</x:v>
      </x:c>
      <x:c r="AW45" s="72" t="str">
        <x:v>0.75</x:v>
      </x:c>
      <x:c r="AX45" s="72" t="str">
        <x:v>0.5</x:v>
      </x:c>
      <x:c r="AY45" s="72" t="str">
        <x:v>0.5</x:v>
      </x:c>
      <x:c r="AZ45" s="72" t="str">
        <x:v>0.02</x:v>
      </x:c>
      <x:c r="BA45" s="72" t="str">
        <x:v>0.03</x:v>
      </x:c>
      <x:c r="BB45" s="72" t="str">
        <x:v>0.1</x:v>
      </x:c>
      <x:c r="BC45" s="72" t="str">
        <x:v>0.5</x:v>
      </x:c>
      <x:c r="BD45" s="72" t="str">
        <x:v>0.1</x:v>
      </x:c>
      <x:c r="BE45" s="72" t="str">
        <x:v>0.25</x:v>
      </x:c>
      <x:c r="BF45" s="14" t="str">
        <x:v>0.6</x:v>
      </x:c>
      <x:c r="BG45" s="72" t="str">
        <x:v>0.6</x:v>
      </x:c>
      <x:c r="BH45" s="74" t="str">
        <x:v>0.974074998898371</x:v>
      </x:c>
      <x:c r="BI45" s="47" t="str">
        <x:v>Common scenario elasticity + issuer SEC CapEx/CFO dependency scale</x:v>
      </x:c>
      <x:c r="BJ45" s="47" t="str">
        <x:v>Modeled estimate using observed inputs + disclosed assumptions</x:v>
      </x:c>
      <x:c r="BK45" s="14" t="str">
        <x:v>False</x:v>
      </x:c>
      <x:c r="BL45" s="14" t="str">
        <x:v>False</x:v>
      </x:c>
      <x:c r="BM45" s="14" t="str">
        <x:v>False</x:v>
      </x:c>
      <x:c r="BN45" s="47" t="str">
        <x:v>Conditional scenario sensitivity; not a forecast or probability</x:v>
      </x:c>
      <x:c r="BO45" s="66" t="str">
        <x:v>101.12932827771841</x:v>
      </x:c>
    </x:row>
    <x:row r="46">
      <x:c r="A46" s="14" t="str">
        <x:v>MSFT</x:v>
      </x:c>
      <x:c r="B46" s="14" t="str">
        <x:v>Technology</x:v>
      </x:c>
      <x:c r="C46" s="14" t="str">
        <x:v>nz_vs_baseline</x:v>
      </x:c>
      <x:c r="D46" s="47" t="str">
        <x:v>Net Zero 2050 vs baseline</x:v>
      </x:c>
      <x:c r="E46" s="14" t="str">
        <x:v>Net Zero vs baseline</x:v>
      </x:c>
      <x:c r="F46" s="14" t="str">
        <x:v>net_zero_2050</x:v>
      </x:c>
      <x:c r="G46" s="14" t="str">
        <x:v>baseline</x:v>
      </x:c>
      <x:c r="H46" s="14" t="str">
        <x:v>2050</x:v>
      </x:c>
      <x:c r="I46" s="14" t="str">
        <x:v>high</x:v>
      </x:c>
      <x:c r="J46" s="14" t="str">
        <x:v>True</x:v>
      </x:c>
      <x:c r="K46" s="14" t="str">
        <x:v>CFP-2026-003-R17-20260804T234500Z</x:v>
      </x:c>
      <x:c r="L4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6" s="66" t="str">
        <x:v>-2.238736493185456</x:v>
      </x:c>
      <x:c r="N46" s="68" t="str">
        <x:v>1056700433995.6056</x:v>
      </x:c>
      <x:c r="O46" s="68" t="str">
        <x:v>1033043695756.0969</x:v>
      </x:c>
      <x:c r="P46" s="68" t="str">
        <x:v>136222325961.35968</x:v>
      </x:c>
      <x:c r="Q46" s="68" t="str">
        <x:v>131037516865.08006</x:v>
      </x:c>
      <x:c r="R46" s="68" t="str">
        <x:v>-5184809096.279617</x:v>
      </x:c>
      <x:c r="S46" s="68" t="str">
        <x:v>73477040696.4498</x:v>
      </x:c>
      <x:c r="T46" s="66" t="str">
        <x:v>0.30808199250675894</x:v>
      </x:c>
      <x:c r="U46" s="66" t="str">
        <x:v>0.575830558141374</x:v>
      </x:c>
      <x:c r="V46" s="66" t="str">
        <x:v>2.922224996695113</x:v>
      </x:c>
      <x:c r="W46" s="68" t="str">
        <x:v>419676456.0608089</x:v>
      </x:c>
      <x:c r="X46" s="68" t="str">
        <x:v>784409779.8964591</x:v>
      </x:c>
      <x:c r="Y46" s="68" t="str">
        <x:v>3980722860.322349</x:v>
      </x:c>
      <x:c r="Z46" s="66" t="str">
        <x:v>-0.21065008390985185</x:v>
      </x:c>
      <x:c r="AA46" s="66" t="str">
        <x:v>-0.5650615812928073</x:v>
      </x:c>
      <x:c r="AB46" s="66" t="str">
        <x:v>-1.4630248279827924</x:v>
      </x:c>
      <x:c r="AC46" s="68" t="str">
        <x:v>63839318.02845124</x:v>
      </x:c>
      <x:c r="AD46" s="68" t="str">
        <x:v>86440643.0283156</x:v>
      </x:c>
      <x:c r="AE46" s="68" t="str">
        <x:v>269396495.004042</x:v>
      </x:c>
      <x:c r="AF46" s="68" t="str">
        <x:v>26783208.555252228</x:v>
      </x:c>
      <x:c r="AG46" s="68" t="str">
        <x:v>757626571.3412069</x:v>
      </x:c>
      <x:c r="AH46" s="70" t="str">
        <x:v>143510.0</x:v>
      </x:c>
      <x:c r="AI46" s="70" t="str">
        <x:v>259090.0</x:v>
      </x:c>
      <x:c r="AJ46" s="70" t="str">
        <x:v>15140000.0</x:v>
      </x:c>
      <x:c r="AK46" s="68" t="str">
        <x:v>261126000000.0</x:v>
      </x:c>
      <x:c r="AL46" s="66" t="str">
        <x:v>0.18089619337783003</x:v>
      </x:c>
      <x:c r="AM46" s="70" t="str">
        <x:v>0.0</x:v>
      </x:c>
      <x:c r="AN46" s="70" t="str">
        <x:v>0.0</x:v>
      </x:c>
      <x:c r="AO46" s="66" t="str"/>
      <x:c r="AP46" s="14" t="str">
        <x:v>Unverified</x:v>
      </x:c>
      <x:c r="AQ46" s="47" t="str">
        <x:v>Proxy fallback; no issuer facilities in governed match file</x:v>
      </x:c>
      <x:c r="AR46" s="66" t="str"/>
      <x:c r="AS46" s="66" t="str">
        <x:v>6.952114548720453</x:v>
      </x:c>
      <x:c r="AT46" s="66" t="str">
        <x:v>0.0</x:v>
      </x:c>
      <x:c r="AU46" s="66" t="str">
        <x:v>9.627276973766637</x:v>
      </x:c>
      <x:c r="AV46" s="66" t="str">
        <x:v>2.5</x:v>
      </x:c>
      <x:c r="AW46" s="72" t="str">
        <x:v>1.0</x:v>
      </x:c>
      <x:c r="AX46" s="72" t="str">
        <x:v>0.3</x:v>
      </x:c>
      <x:c r="AY46" s="72" t="str">
        <x:v>0.75</x:v>
      </x:c>
      <x:c r="AZ46" s="72" t="str">
        <x:v>0.04</x:v>
      </x:c>
      <x:c r="BA46" s="72" t="str">
        <x:v>0.01</x:v>
      </x:c>
      <x:c r="BB46" s="72" t="str">
        <x:v>0.135</x:v>
      </x:c>
      <x:c r="BC46" s="72" t="str">
        <x:v>0.3</x:v>
      </x:c>
      <x:c r="BD46" s="72" t="str">
        <x:v>0.2</x:v>
      </x:c>
      <x:c r="BE46" s="72" t="str">
        <x:v>0.4</x:v>
      </x:c>
      <x:c r="BF46" s="14" t="str">
        <x:v>0.6</x:v>
      </x:c>
      <x:c r="BG46" s="72" t="str">
        <x:v>1.0</x:v>
      </x:c>
      <x:c r="BH46" s="74" t="str">
        <x:v>0.974074998898371</x:v>
      </x:c>
      <x:c r="BI46" s="47" t="str">
        <x:v>Common scenario elasticity + issuer SEC CapEx/CFO dependency scale</x:v>
      </x:c>
      <x:c r="BJ46" s="47" t="str">
        <x:v>Modeled estimate using observed inputs + disclosed assumptions</x:v>
      </x:c>
      <x:c r="BK46" s="14" t="str">
        <x:v>False</x:v>
      </x:c>
      <x:c r="BL46" s="14" t="str">
        <x:v>False</x:v>
      </x:c>
      <x:c r="BM46" s="14" t="str">
        <x:v>False</x:v>
      </x:c>
      <x:c r="BN46" s="47" t="str">
        <x:v>Conditional scenario sensitivity; not a forecast or probability</x:v>
      </x:c>
      <x:c r="BO46" s="66" t="str">
        <x:v>102.29000364037786</x:v>
      </x:c>
    </x:row>
    <x:row r="47">
      <x:c r="A47" s="14" t="str">
        <x:v>NEE</x:v>
      </x:c>
      <x:c r="B47" s="14" t="str">
        <x:v>Utilities</x:v>
      </x:c>
      <x:c r="C47" s="14" t="str">
        <x:v>nz_vs_baseline</x:v>
      </x:c>
      <x:c r="D47" s="47" t="str">
        <x:v>Net Zero 2050 vs baseline</x:v>
      </x:c>
      <x:c r="E47" s="14" t="str">
        <x:v>Net Zero vs baseline</x:v>
      </x:c>
      <x:c r="F47" s="14" t="str">
        <x:v>net_zero_2050</x:v>
      </x:c>
      <x:c r="G47" s="14" t="str">
        <x:v>baseline</x:v>
      </x:c>
      <x:c r="H47" s="14" t="str">
        <x:v>2050</x:v>
      </x:c>
      <x:c r="I47" s="14" t="str">
        <x:v>low</x:v>
      </x:c>
      <x:c r="J47" s="14" t="str">
        <x:v>True</x:v>
      </x:c>
      <x:c r="K47" s="14" t="str">
        <x:v>CFP-2026-003-R17-20260804T234500Z</x:v>
      </x:c>
      <x:c r="L4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7" s="66" t="str">
        <x:v>-10.696196870062114</x:v>
      </x:c>
      <x:c r="N47" s="68" t="str">
        <x:v>207787213356.48944</x:v>
      </x:c>
      <x:c r="O47" s="68" t="str">
        <x:v>185561883945.06332</x:v>
      </x:c>
      <x:c r="P47" s="68" t="str">
        <x:v>16208268485.95464</x:v>
      </x:c>
      <x:c r="Q47" s="68" t="str">
        <x:v>14356091095.18947</x:v>
      </x:c>
      <x:c r="R47" s="68" t="str">
        <x:v>-1852177390.7651691</x:v>
      </x:c>
      <x:c r="S47" s="68" t="str">
        <x:v>9879440000.0</x:v>
      </x:c>
      <x:c r="T47" s="66" t="str">
        <x:v>9.106032199215939</x:v>
      </x:c>
      <x:c r="U47" s="66" t="str">
        <x:v>0.22132904156176864</x:v>
      </x:c>
      <x:c r="V47" s="66" t="str">
        <x:v>2.0999999999999996</x:v>
      </x:c>
      <x:c r="W47" s="68" t="str">
        <x:v>1475930147.2663994</x:v>
      </x:c>
      <x:c r="X47" s="68" t="str">
        <x:v>35873605.29372159</x:v>
      </x:c>
      <x:c r="Y47" s="68" t="str">
        <x:v>340373638.20504737</x:v>
      </x:c>
      <x:c r="Z47" s="66" t="str">
        <x:v>-9.259491862451453</x:v>
      </x:c>
      <x:c r="AA47" s="66" t="str">
        <x:v>-0.16543741136978937</x:v>
      </x:c>
      <x:c r="AB47" s="66" t="str">
        <x:v>-1.2712675962408735</x:v>
      </x:c>
      <x:c r="AC47" s="68" t="str">
        <x:v>1475701470.3871799</x:v>
      </x:c>
      <x:c r="AD47" s="68" t="str">
        <x:v>217590.74829981627</x:v>
      </x:c>
      <x:c r="AE47" s="68" t="str">
        <x:v>11086.13091967465</x:v>
      </x:c>
      <x:c r="AF47" s="68" t="str">
        <x:v>27422474.857413653</x:v>
      </x:c>
      <x:c r="AG47" s="68" t="str">
        <x:v>8451130.436307935</x:v>
      </x:c>
      <x:c r="AH47" s="70" t="str">
        <x:v>43409916.37</x:v>
      </x:c>
      <x:c r="AI47" s="70" t="str">
        <x:v>25603.0</x:v>
      </x:c>
      <x:c r="AJ47" s="70" t="str">
        <x:v>65222.95</x:v>
      </x:c>
      <x:c r="AK47" s="68" t="str">
        <x:v>156197000000.0</x:v>
      </x:c>
      <x:c r="AL47" s="66" t="str">
        <x:v>0.25009029941509914</x:v>
      </x:c>
      <x:c r="AM47" s="70" t="str">
        <x:v>23.0</x:v>
      </x:c>
      <x:c r="AN47" s="70" t="str">
        <x:v>27.0</x:v>
      </x:c>
      <x:c r="AO47" s="66" t="str">
        <x:v>85.18518518518519</x:v>
      </x:c>
      <x:c r="AP47" s="14" t="str">
        <x:v>High</x:v>
      </x:c>
      <x:c r="AQ47" s="47" t="str">
        <x:v>Issuer facility-to-FEMA county match</x:v>
      </x:c>
      <x:c r="AR47" s="66" t="str">
        <x:v>0.25009029941509914</x:v>
      </x:c>
      <x:c r="AS47" s="66" t="str">
        <x:v>6.952114548720453</x:v>
      </x:c>
      <x:c r="AT47" s="66" t="str">
        <x:v>0.0</x:v>
      </x:c>
      <x:c r="AU47" s="66" t="str">
        <x:v>6.849686675720218</x:v>
      </x:c>
      <x:c r="AV47" s="66" t="str">
        <x:v>2.0</x:v>
      </x:c>
      <x:c r="AW47" s="72" t="str">
        <x:v>0.5</x:v>
      </x:c>
      <x:c r="AX47" s="72" t="str">
        <x:v>0.7</x:v>
      </x:c>
      <x:c r="AY47" s="72" t="str">
        <x:v>0.25</x:v>
      </x:c>
      <x:c r="AZ47" s="72" t="str">
        <x:v>0.0025</x:v>
      </x:c>
      <x:c r="BA47" s="72" t="str">
        <x:v>0.05</x:v>
      </x:c>
      <x:c r="BB47" s="72" t="str">
        <x:v>0.39</x:v>
      </x:c>
      <x:c r="BC47" s="72" t="str">
        <x:v>0.7</x:v>
      </x:c>
      <x:c r="BD47" s="72" t="str">
        <x:v>0.05</x:v>
      </x:c>
      <x:c r="BE47" s="72" t="str">
        <x:v>0.15</x:v>
      </x:c>
      <x:c r="BF47" s="14" t="str">
        <x:v>0.6</x:v>
      </x:c>
      <x:c r="BG47" s="72" t="str">
        <x:v>0.35</x:v>
      </x:c>
      <x:c r="BH47" s="74" t="str">
        <x:v>2.0</x:v>
      </x:c>
      <x:c r="BI47" s="47" t="str">
        <x:v>Common scenario elasticity + issuer SEC CapEx/CFO dependency scale</x:v>
      </x:c>
      <x:c r="BJ47" s="47" t="str">
        <x:v>Modeled estimate using observed inputs + disclosed assumptions</x:v>
      </x:c>
      <x:c r="BK47" s="14" t="str">
        <x:v>False</x:v>
      </x:c>
      <x:c r="BL47" s="14" t="str">
        <x:v>False</x:v>
      </x:c>
      <x:c r="BM47" s="14" t="str">
        <x:v>False</x:v>
      </x:c>
      <x:c r="BN47" s="47" t="str">
        <x:v>Conditional scenario sensitivity; not a forecast or probability</x:v>
      </x:c>
      <x:c r="BO47" s="66" t="str">
        <x:v>111.9773139498875</x:v>
      </x:c>
    </x:row>
    <x:row r="48">
      <x:c r="A48" s="14" t="str">
        <x:v>NEE</x:v>
      </x:c>
      <x:c r="B48" s="14" t="str">
        <x:v>Utilities</x:v>
      </x:c>
      <x:c r="C48" s="14" t="str">
        <x:v>nz_vs_baseline</x:v>
      </x:c>
      <x:c r="D48" s="47" t="str">
        <x:v>Net Zero 2050 vs baseline</x:v>
      </x:c>
      <x:c r="E48" s="14" t="str">
        <x:v>Net Zero vs baseline</x:v>
      </x:c>
      <x:c r="F48" s="14" t="str">
        <x:v>net_zero_2050</x:v>
      </x:c>
      <x:c r="G48" s="14" t="str">
        <x:v>baseline</x:v>
      </x:c>
      <x:c r="H48" s="14" t="str">
        <x:v>2050</x:v>
      </x:c>
      <x:c r="I48" s="14" t="str">
        <x:v>base</x:v>
      </x:c>
      <x:c r="J48" s="14" t="str">
        <x:v>True</x:v>
      </x:c>
      <x:c r="K48" s="14" t="str">
        <x:v>CFP-2026-003-R17-20260804T234500Z</x:v>
      </x:c>
      <x:c r="L4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8" s="66" t="str">
        <x:v>-35.15529295786975</x:v>
      </x:c>
      <x:c r="N48" s="68" t="str">
        <x:v>207787213356.48944</x:v>
      </x:c>
      <x:c r="O48" s="68" t="str">
        <x:v>134739009772.02173</x:v>
      </x:c>
      <x:c r="P48" s="68" t="str">
        <x:v>16208268485.95464</x:v>
      </x:c>
      <x:c r="Q48" s="68" t="str">
        <x:v>9307816067.787355</x:v>
      </x:c>
      <x:c r="R48" s="68" t="str">
        <x:v>-6900452418.167284</x:v>
      </x:c>
      <x:c r="S48" s="68" t="str">
        <x:v>9879440000.0</x:v>
      </x:c>
      <x:c r="T48" s="66" t="str">
        <x:v>38.3298856506369</x:v>
      </x:c>
      <x:c r="U48" s="66" t="str">
        <x:v>0.6437700371801368</x:v>
      </x:c>
      <x:c r="V48" s="66" t="str">
        <x:v>3.5999999999999996</x:v>
      </x:c>
      <x:c r="W48" s="68" t="str">
        <x:v>6212610776.614631</x:v>
      </x:c>
      <x:c r="X48" s="68" t="str">
        <x:v>104343976.05828658</x:v>
      </x:c>
      <x:c r="Y48" s="68" t="str">
        <x:v>583497665.494367</x:v>
      </x:c>
      <x:c r="Z48" s="66" t="str">
        <x:v>-32.48756357572265</x:v>
      </x:c>
      <x:c r="AA48" s="66" t="str">
        <x:v>-0.48841350287701557</x:v>
      </x:c>
      <x:c r="AB48" s="66" t="str">
        <x:v>-2.1793158792700735</x:v>
      </x:c>
      <x:c r="AC48" s="68" t="str">
        <x:v>6210717037.972677</x:v>
      </x:c>
      <x:c r="AD48" s="68" t="str">
        <x:v>1831528.388213</x:v>
      </x:c>
      <x:c r="AE48" s="68" t="str">
        <x:v>62210.253740054985</x:v>
      </x:c>
      <x:c r="AF48" s="68" t="str">
        <x:v>76173541.27059346</x:v>
      </x:c>
      <x:c r="AG48" s="68" t="str">
        <x:v>28170434.78769312</x:v>
      </x:c>
      <x:c r="AH48" s="70" t="str">
        <x:v>43409916.37</x:v>
      </x:c>
      <x:c r="AI48" s="70" t="str">
        <x:v>25603.0</x:v>
      </x:c>
      <x:c r="AJ48" s="70" t="str">
        <x:v>65222.95</x:v>
      </x:c>
      <x:c r="AK48" s="68" t="str">
        <x:v>156197000000.0</x:v>
      </x:c>
      <x:c r="AL48" s="66" t="str">
        <x:v>0.25009029941509914</x:v>
      </x:c>
      <x:c r="AM48" s="70" t="str">
        <x:v>23.0</x:v>
      </x:c>
      <x:c r="AN48" s="70" t="str">
        <x:v>27.0</x:v>
      </x:c>
      <x:c r="AO48" s="66" t="str">
        <x:v>85.18518518518519</x:v>
      </x:c>
      <x:c r="AP48" s="14" t="str">
        <x:v>High</x:v>
      </x:c>
      <x:c r="AQ48" s="47" t="str">
        <x:v>Issuer facility-to-FEMA county match</x:v>
      </x:c>
      <x:c r="AR48" s="66" t="str">
        <x:v>0.25009029941509914</x:v>
      </x:c>
      <x:c r="AS48" s="66" t="str">
        <x:v>6.952114548720453</x:v>
      </x:c>
      <x:c r="AT48" s="66" t="str">
        <x:v>0.0</x:v>
      </x:c>
      <x:c r="AU48" s="66" t="str">
        <x:v>6.849686675720218</x:v>
      </x:c>
      <x:c r="AV48" s="66" t="str">
        <x:v>2.0</x:v>
      </x:c>
      <x:c r="AW48" s="72" t="str">
        <x:v>0.75</x:v>
      </x:c>
      <x:c r="AX48" s="72" t="str">
        <x:v>0.5</x:v>
      </x:c>
      <x:c r="AY48" s="72" t="str">
        <x:v>0.5</x:v>
      </x:c>
      <x:c r="AZ48" s="72" t="str">
        <x:v>0.005</x:v>
      </x:c>
      <x:c r="BA48" s="72" t="str">
        <x:v>0.03</x:v>
      </x:c>
      <x:c r="BB48" s="72" t="str">
        <x:v>0.65</x:v>
      </x:c>
      <x:c r="BC48" s="72" t="str">
        <x:v>0.5</x:v>
      </x:c>
      <x:c r="BD48" s="72" t="str">
        <x:v>0.1</x:v>
      </x:c>
      <x:c r="BE48" s="72" t="str">
        <x:v>0.25</x:v>
      </x:c>
      <x:c r="BF48" s="14" t="str">
        <x:v>0.6</x:v>
      </x:c>
      <x:c r="BG48" s="72" t="str">
        <x:v>0.6</x:v>
      </x:c>
      <x:c r="BH48" s="74" t="str">
        <x:v>2.0</x:v>
      </x:c>
      <x:c r="BI48" s="47" t="str">
        <x:v>Common scenario elasticity + issuer SEC CapEx/CFO dependency scale</x:v>
      </x:c>
      <x:c r="BJ48" s="47" t="str">
        <x:v>Modeled estimate using observed inputs + disclosed assumptions</x:v>
      </x:c>
      <x:c r="BK48" s="14" t="str">
        <x:v>False</x:v>
      </x:c>
      <x:c r="BL48" s="14" t="str">
        <x:v>False</x:v>
      </x:c>
      <x:c r="BM48" s="14" t="str">
        <x:v>False</x:v>
      </x:c>
      <x:c r="BN48" s="47" t="str">
        <x:v>Conditional scenario sensitivity; not a forecast or probability</x:v>
      </x:c>
      <x:c r="BO48" s="66" t="str">
        <x:v>154.2145913852753</x:v>
      </x:c>
    </x:row>
    <x:row r="49">
      <x:c r="A49" s="14" t="str">
        <x:v>NEE</x:v>
      </x:c>
      <x:c r="B49" s="14" t="str">
        <x:v>Utilities</x:v>
      </x:c>
      <x:c r="C49" s="14" t="str">
        <x:v>nz_vs_baseline</x:v>
      </x:c>
      <x:c r="D49" s="47" t="str">
        <x:v>Net Zero 2050 vs baseline</x:v>
      </x:c>
      <x:c r="E49" s="14" t="str">
        <x:v>Net Zero vs baseline</x:v>
      </x:c>
      <x:c r="F49" s="14" t="str">
        <x:v>net_zero_2050</x:v>
      </x:c>
      <x:c r="G49" s="14" t="str">
        <x:v>baseline</x:v>
      </x:c>
      <x:c r="H49" s="14" t="str">
        <x:v>2050</x:v>
      </x:c>
      <x:c r="I49" s="14" t="str">
        <x:v>high</x:v>
      </x:c>
      <x:c r="J49" s="14" t="str">
        <x:v>True</x:v>
      </x:c>
      <x:c r="K49" s="14" t="str">
        <x:v>CFP-2026-003-R17-20260804T234500Z</x:v>
      </x:c>
      <x:c r="L4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49" s="66" t="str">
        <x:v>-79.9289171739135</x:v>
      </x:c>
      <x:c r="N49" s="68" t="str">
        <x:v>207787213356.48944</x:v>
      </x:c>
      <x:c r="O49" s="68" t="str">
        <x:v>41705143694.79804</x:v>
      </x:c>
      <x:c r="P49" s="68" t="str">
        <x:v>16208268485.95464</x:v>
      </x:c>
      <x:c r="Q49" s="68" t="str">
        <x:v>0.0</x:v>
      </x:c>
      <x:c r="R49" s="68" t="str">
        <x:v>-16208268485.95464</x:v>
      </x:c>
      <x:c r="S49" s="68" t="str">
        <x:v>9879440000.0</x:v>
      </x:c>
      <x:c r="T49" s="66" t="str">
        <x:v>119.19471247267475</x:v>
      </x:c>
      <x:c r="U49" s="66" t="str">
        <x:v>1.4444071217410535</x:v>
      </x:c>
      <x:c r="V49" s="66" t="str">
        <x:v>6.0</x:v>
      </x:c>
      <x:c r="W49" s="68" t="str">
        <x:v>19319399018.632786</x:v>
      </x:c>
      <x:c r="X49" s="68" t="str">
        <x:v>234113384.32203963</x:v>
      </x:c>
      <x:c r="Y49" s="68" t="str">
        <x:v>972496109.1572783</x:v>
      </x:c>
      <x:c r="Z49" s="66" t="str">
        <x:v>-76.78744932405031</x:v>
      </x:c>
      <x:c r="AA49" s="66" t="str">
        <x:v>-0.8184031414075494</x:v>
      </x:c>
      <x:c r="AB49" s="66" t="str">
        <x:v>-2.3230647084556533</x:v>
      </x:c>
      <x:c r="AC49" s="68" t="str">
        <x:v>19310566906.368206</x:v>
      </x:c>
      <x:c r="AD49" s="68" t="str">
        <x:v>8541972.99569248</x:v>
      </x:c>
      <x:c r="AE49" s="68" t="str">
        <x:v>290139.26888744853</x:v>
      </x:c>
      <x:c r="AF49" s="68" t="str">
        <x:v>143967993.00142163</x:v>
      </x:c>
      <x:c r="AG49" s="68" t="str">
        <x:v>90145391.320618</x:v>
      </x:c>
      <x:c r="AH49" s="70" t="str">
        <x:v>43409916.37</x:v>
      </x:c>
      <x:c r="AI49" s="70" t="str">
        <x:v>25603.0</x:v>
      </x:c>
      <x:c r="AJ49" s="70" t="str">
        <x:v>65222.95</x:v>
      </x:c>
      <x:c r="AK49" s="68" t="str">
        <x:v>156197000000.0</x:v>
      </x:c>
      <x:c r="AL49" s="66" t="str">
        <x:v>0.25009029941509914</x:v>
      </x:c>
      <x:c r="AM49" s="70" t="str">
        <x:v>23.0</x:v>
      </x:c>
      <x:c r="AN49" s="70" t="str">
        <x:v>27.0</x:v>
      </x:c>
      <x:c r="AO49" s="66" t="str">
        <x:v>85.18518518518519</x:v>
      </x:c>
      <x:c r="AP49" s="14" t="str">
        <x:v>High</x:v>
      </x:c>
      <x:c r="AQ49" s="47" t="str">
        <x:v>Issuer facility-to-FEMA county match</x:v>
      </x:c>
      <x:c r="AR49" s="66" t="str">
        <x:v>0.25009029941509914</x:v>
      </x:c>
      <x:c r="AS49" s="66" t="str">
        <x:v>6.952114548720453</x:v>
      </x:c>
      <x:c r="AT49" s="66" t="str">
        <x:v>0.0</x:v>
      </x:c>
      <x:c r="AU49" s="66" t="str">
        <x:v>6.849686675720218</x:v>
      </x:c>
      <x:c r="AV49" s="66" t="str">
        <x:v>2.0</x:v>
      </x:c>
      <x:c r="AW49" s="72" t="str">
        <x:v>1.0</x:v>
      </x:c>
      <x:c r="AX49" s="72" t="str">
        <x:v>0.3</x:v>
      </x:c>
      <x:c r="AY49" s="72" t="str">
        <x:v>0.75</x:v>
      </x:c>
      <x:c r="AZ49" s="72" t="str">
        <x:v>0.01</x:v>
      </x:c>
      <x:c r="BA49" s="72" t="str">
        <x:v>0.01</x:v>
      </x:c>
      <x:c r="BB49" s="72" t="str">
        <x:v>0.8775000000000001</x:v>
      </x:c>
      <x:c r="BC49" s="72" t="str">
        <x:v>0.3</x:v>
      </x:c>
      <x:c r="BD49" s="72" t="str">
        <x:v>0.2</x:v>
      </x:c>
      <x:c r="BE49" s="72" t="str">
        <x:v>0.4</x:v>
      </x:c>
      <x:c r="BF49" s="14" t="str">
        <x:v>0.6</x:v>
      </x:c>
      <x:c r="BG49" s="72" t="str">
        <x:v>1.0</x:v>
      </x:c>
      <x:c r="BH49" s="74" t="str">
        <x:v>2.0</x:v>
      </x:c>
      <x:c r="BI49" s="47" t="str">
        <x:v>Common scenario elasticity + issuer SEC CapEx/CFO dependency scale</x:v>
      </x:c>
      <x:c r="BJ49" s="47" t="str">
        <x:v>Modeled estimate using observed inputs + disclosed assumptions</x:v>
      </x:c>
      <x:c r="BK49" s="14" t="str">
        <x:v>False</x:v>
      </x:c>
      <x:c r="BL49" s="14" t="str">
        <x:v>False</x:v>
      </x:c>
      <x:c r="BM49" s="14" t="str">
        <x:v>False</x:v>
      </x:c>
      <x:c r="BN49" s="47" t="str">
        <x:v>Conditional scenario sensitivity; not a forecast or probability</x:v>
      </x:c>
      <x:c r="BO49" s="66" t="str">
        <x:v>498.22922293972846</x:v>
      </x:c>
    </x:row>
    <x:row r="50">
      <x:c r="A50" s="14" t="str">
        <x:v>XOM</x:v>
      </x:c>
      <x:c r="B50" s="14" t="str">
        <x:v>Energy</x:v>
      </x:c>
      <x:c r="C50" s="14" t="str">
        <x:v>nz_vs_baseline</x:v>
      </x:c>
      <x:c r="D50" s="47" t="str">
        <x:v>Net Zero 2050 vs baseline</x:v>
      </x:c>
      <x:c r="E50" s="14" t="str">
        <x:v>Net Zero vs baseline</x:v>
      </x:c>
      <x:c r="F50" s="14" t="str">
        <x:v>net_zero_2050</x:v>
      </x:c>
      <x:c r="G50" s="14" t="str">
        <x:v>baseline</x:v>
      </x:c>
      <x:c r="H50" s="14" t="str">
        <x:v>2050</x:v>
      </x:c>
      <x:c r="I50" s="14" t="str">
        <x:v>low</x:v>
      </x:c>
      <x:c r="J50" s="14" t="str">
        <x:v>True</x:v>
      </x:c>
      <x:c r="K50" s="14" t="str">
        <x:v>CFP-2026-003-R17-20260804T234500Z</x:v>
      </x:c>
      <x:c r="L5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0" s="66" t="str">
        <x:v>-10.625712531167231</x:v>
      </x:c>
      <x:c r="N50" s="68" t="str">
        <x:v>676608329467.1913</x:v>
      </x:c>
      <x:c r="O50" s="68" t="str">
        <x:v>604713873416.0747</x:v>
      </x:c>
      <x:c r="P50" s="68" t="str">
        <x:v>37562427566.9594</x:v>
      </x:c>
      <x:c r="Q50" s="68" t="str">
        <x:v>33444170794.331444</x:v>
      </x:c>
      <x:c r="R50" s="68" t="str">
        <x:v>-4118256772.6279526</x:v>
      </x:c>
      <x:c r="S50" s="68" t="str">
        <x:v>24046905786.56586</x:v>
      </x:c>
      <x:c r="T50" s="66" t="str">
        <x:v>9.741584411192198</x:v>
      </x:c>
      <x:c r="U50" s="66" t="str">
        <x:v>0.12423787620712545</x:v>
      </x:c>
      <x:c r="V50" s="66" t="str">
        <x:v>1.0979440061573982</x:v>
      </x:c>
      <x:c r="W50" s="68" t="str">
        <x:v>3659175588.328277</x:v>
      </x:c>
      <x:c r="X50" s="68" t="str">
        <x:v>46666762.26103018</x:v>
      </x:c>
      <x:c r="Y50" s="68" t="str">
        <x:v>412414422.0386449</x:v>
      </x:c>
      <x:c r="Z50" s="66" t="str">
        <x:v>-9.776044820928128</x:v>
      </x:c>
      <x:c r="AA50" s="66" t="str">
        <x:v>-0.1044879995081348</x:v>
      </x:c>
      <x:c r="AB50" s="66" t="str">
        <x:v>-0.7451797107309628</x:v>
      </x:c>
      <x:c r="AC50" s="68" t="str">
        <x:v>3535435351.041814</x:v>
      </x:c>
      <x:c r="AD50" s="68" t="str">
        <x:v>59490498.69541514</x:v>
      </x:c>
      <x:c r="AE50" s="68" t="str">
        <x:v>64249738.591048345</x:v>
      </x:c>
      <x:c r="AF50" s="68" t="str">
        <x:v>27081389.823016435</x:v>
      </x:c>
      <x:c r="AG50" s="68" t="str">
        <x:v>19585372.438013747</x:v>
      </x:c>
      <x:c r="AH50" s="70" t="str">
        <x:v>104000000.0</x:v>
      </x:c>
      <x:c r="AI50" s="70" t="str">
        <x:v>7000000.0</x:v>
      </x:c>
      <x:c r="AJ50" s="70" t="str">
        <x:v>630000000.0</x:v>
      </x:c>
      <x:c r="AK50" s="68" t="str">
        <x:v>299373000000.0</x:v>
      </x:c>
      <x:c r="AL50" s="66" t="str">
        <x:v>0.18613243120519987</x:v>
      </x:c>
      <x:c r="AM50" s="70" t="str">
        <x:v>49.0</x:v>
      </x:c>
      <x:c r="AN50" s="70" t="str">
        <x:v>68.0</x:v>
      </x:c>
      <x:c r="AO50" s="66" t="str">
        <x:v>72.05882352941177</x:v>
      </x:c>
      <x:c r="AP50" s="14" t="str">
        <x:v>Medium</x:v>
      </x:c>
      <x:c r="AQ50" s="47" t="str">
        <x:v>Issuer facility-to-FEMA county match</x:v>
      </x:c>
      <x:c r="AR50" s="66" t="str">
        <x:v>0.18613243120519987</x:v>
      </x:c>
      <x:c r="AS50" s="66" t="str">
        <x:v>6.952114548720453</x:v>
      </x:c>
      <x:c r="AT50" s="66" t="str">
        <x:v>0.0</x:v>
      </x:c>
      <x:c r="AU50" s="66" t="str">
        <x:v>5.418008975739499</x:v>
      </x:c>
      <x:c r="AV50" s="66" t="str">
        <x:v>1.7999999999999998</x:v>
      </x:c>
      <x:c r="AW50" s="72" t="str">
        <x:v>0.5</x:v>
      </x:c>
      <x:c r="AX50" s="72" t="str">
        <x:v>0.7</x:v>
      </x:c>
      <x:c r="AY50" s="72" t="str">
        <x:v>0.25</x:v>
      </x:c>
      <x:c r="AZ50" s="72" t="str">
        <x:v>0.0015</x:v>
      </x:c>
      <x:c r="BA50" s="72" t="str">
        <x:v>0.05</x:v>
      </x:c>
      <x:c r="BB50" s="72" t="str">
        <x:v>0.27</x:v>
      </x:c>
      <x:c r="BC50" s="72" t="str">
        <x:v>0.7</x:v>
      </x:c>
      <x:c r="BD50" s="72" t="str">
        <x:v>0.05</x:v>
      </x:c>
      <x:c r="BE50" s="72" t="str">
        <x:v>0.15</x:v>
      </x:c>
      <x:c r="BF50" s="14" t="str">
        <x:v>0.6</x:v>
      </x:c>
      <x:c r="BG50" s="72" t="str">
        <x:v>0.35</x:v>
      </x:c>
      <x:c r="BH50" s="74" t="str">
        <x:v>1.0456609582451413</x:v>
      </x:c>
      <x:c r="BI50" s="47" t="str">
        <x:v>Common scenario elasticity + issuer SEC CapEx/CFO dependency scale</x:v>
      </x:c>
      <x:c r="BJ50" s="47" t="str">
        <x:v>Modeled estimate using observed inputs + disclosed assumptions</x:v>
      </x:c>
      <x:c r="BK50" s="14" t="str">
        <x:v>False</x:v>
      </x:c>
      <x:c r="BL50" s="14" t="str">
        <x:v>False</x:v>
      </x:c>
      <x:c r="BM50" s="14" t="str">
        <x:v>False</x:v>
      </x:c>
      <x:c r="BN50" s="47" t="str">
        <x:v>Conditional scenario sensitivity; not a forecast or probability</x:v>
      </x:c>
      <x:c r="BO50" s="66" t="str">
        <x:v>111.88900390939922</x:v>
      </x:c>
    </x:row>
    <x:row r="51">
      <x:c r="A51" s="14" t="str">
        <x:v>XOM</x:v>
      </x:c>
      <x:c r="B51" s="14" t="str">
        <x:v>Energy</x:v>
      </x:c>
      <x:c r="C51" s="14" t="str">
        <x:v>nz_vs_baseline</x:v>
      </x:c>
      <x:c r="D51" s="47" t="str">
        <x:v>Net Zero 2050 vs baseline</x:v>
      </x:c>
      <x:c r="E51" s="14" t="str">
        <x:v>Net Zero vs baseline</x:v>
      </x:c>
      <x:c r="F51" s="14" t="str">
        <x:v>net_zero_2050</x:v>
      </x:c>
      <x:c r="G51" s="14" t="str">
        <x:v>baseline</x:v>
      </x:c>
      <x:c r="H51" s="14" t="str">
        <x:v>2050</x:v>
      </x:c>
      <x:c r="I51" s="14" t="str">
        <x:v>base</x:v>
      </x:c>
      <x:c r="J51" s="14" t="str">
        <x:v>True</x:v>
      </x:c>
      <x:c r="K51" s="14" t="str">
        <x:v>CFP-2026-003-R17-20260804T234500Z</x:v>
      </x:c>
      <x:c r="L5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1" s="66" t="str">
        <x:v>-37.99538072621409</x:v>
      </x:c>
      <x:c r="N51" s="68" t="str">
        <x:v>676608329467.1913</x:v>
      </x:c>
      <x:c r="O51" s="68" t="str">
        <x:v>419528418660.855</x:v>
      </x:c>
      <x:c r="P51" s="68" t="str">
        <x:v>37562427566.9594</x:v>
      </x:c>
      <x:c r="Q51" s="68" t="str">
        <x:v>20974206522.895344</x:v>
      </x:c>
      <x:c r="R51" s="68" t="str">
        <x:v>-16588221044.064053</x:v>
      </x:c>
      <x:c r="S51" s="68" t="str">
        <x:v>24046905786.56586</x:v>
      </x:c>
      <x:c r="T51" s="66" t="str">
        <x:v>41.90547643999595</x:v>
      </x:c>
      <x:c r="U51" s="66" t="str">
        <x:v>0.37407235563946145</x:v>
      </x:c>
      <x:c r="V51" s="66" t="str">
        <x:v>1.882189724841254</x:v>
      </x:c>
      <x:c r="W51" s="68" t="str">
        <x:v>15740714234.362713</x:v>
      </x:c>
      <x:c r="X51" s="68" t="str">
        <x:v>140510657.63509145</x:v>
      </x:c>
      <x:c r="Y51" s="68" t="str">
        <x:v>706996152.0662484</x:v>
      </x:c>
      <x:c r="Z51" s="66" t="str">
        <x:v>-36.39879280063305</x:v>
      </x:c>
      <x:c r="AA51" s="66" t="str">
        <x:v>-0.31913699289937736</x:v>
      </x:c>
      <x:c r="AB51" s="66" t="str">
        <x:v>-1.2774509326816537</x:v>
      </x:c>
      <x:c r="AC51" s="68" t="str">
        <x:v>14879424471.67535</x:v>
      </x:c>
      <x:c r="AD51" s="68" t="str">
        <x:v>500749862.0275358</x:v>
      </x:c>
      <x:c r="AE51" s="68" t="str">
        <x:v>360539900.6598258</x:v>
      </x:c>
      <x:c r="AF51" s="68" t="str">
        <x:v>75226082.8417123</x:v>
      </x:c>
      <x:c r="AG51" s="68" t="str">
        <x:v>65284574.793379165</x:v>
      </x:c>
      <x:c r="AH51" s="70" t="str">
        <x:v>104000000.0</x:v>
      </x:c>
      <x:c r="AI51" s="70" t="str">
        <x:v>7000000.0</x:v>
      </x:c>
      <x:c r="AJ51" s="70" t="str">
        <x:v>630000000.0</x:v>
      </x:c>
      <x:c r="AK51" s="68" t="str">
        <x:v>299373000000.0</x:v>
      </x:c>
      <x:c r="AL51" s="66" t="str">
        <x:v>0.18613243120519987</x:v>
      </x:c>
      <x:c r="AM51" s="70" t="str">
        <x:v>49.0</x:v>
      </x:c>
      <x:c r="AN51" s="70" t="str">
        <x:v>68.0</x:v>
      </x:c>
      <x:c r="AO51" s="66" t="str">
        <x:v>72.05882352941177</x:v>
      </x:c>
      <x:c r="AP51" s="14" t="str">
        <x:v>Medium</x:v>
      </x:c>
      <x:c r="AQ51" s="47" t="str">
        <x:v>Issuer facility-to-FEMA county match</x:v>
      </x:c>
      <x:c r="AR51" s="66" t="str">
        <x:v>0.18613243120519987</x:v>
      </x:c>
      <x:c r="AS51" s="66" t="str">
        <x:v>6.952114548720453</x:v>
      </x:c>
      <x:c r="AT51" s="66" t="str">
        <x:v>0.0</x:v>
      </x:c>
      <x:c r="AU51" s="66" t="str">
        <x:v>5.418008975739499</x:v>
      </x:c>
      <x:c r="AV51" s="66" t="str">
        <x:v>1.7999999999999998</x:v>
      </x:c>
      <x:c r="AW51" s="72" t="str">
        <x:v>0.75</x:v>
      </x:c>
      <x:c r="AX51" s="72" t="str">
        <x:v>0.5</x:v>
      </x:c>
      <x:c r="AY51" s="72" t="str">
        <x:v>0.5</x:v>
      </x:c>
      <x:c r="AZ51" s="72" t="str">
        <x:v>0.003</x:v>
      </x:c>
      <x:c r="BA51" s="72" t="str">
        <x:v>0.03</x:v>
      </x:c>
      <x:c r="BB51" s="72" t="str">
        <x:v>0.45</x:v>
      </x:c>
      <x:c r="BC51" s="72" t="str">
        <x:v>0.5</x:v>
      </x:c>
      <x:c r="BD51" s="72" t="str">
        <x:v>0.1</x:v>
      </x:c>
      <x:c r="BE51" s="72" t="str">
        <x:v>0.25</x:v>
      </x:c>
      <x:c r="BF51" s="14" t="str">
        <x:v>0.6</x:v>
      </x:c>
      <x:c r="BG51" s="72" t="str">
        <x:v>0.6</x:v>
      </x:c>
      <x:c r="BH51" s="74" t="str">
        <x:v>1.0456609582451413</x:v>
      </x:c>
      <x:c r="BI51" s="47" t="str">
        <x:v>Common scenario elasticity + issuer SEC CapEx/CFO dependency scale</x:v>
      </x:c>
      <x:c r="BJ51" s="47" t="str">
        <x:v>Modeled estimate using observed inputs + disclosed assumptions</x:v>
      </x:c>
      <x:c r="BK51" s="14" t="str">
        <x:v>False</x:v>
      </x:c>
      <x:c r="BL51" s="14" t="str">
        <x:v>False</x:v>
      </x:c>
      <x:c r="BM51" s="14" t="str">
        <x:v>False</x:v>
      </x:c>
      <x:c r="BN51" s="47" t="str">
        <x:v>Conditional scenario sensitivity; not a forecast or probability</x:v>
      </x:c>
      <x:c r="BO51" s="66" t="str">
        <x:v>161.2783066346117</x:v>
      </x:c>
    </x:row>
    <x:row r="52">
      <x:c r="A52" s="14" t="str">
        <x:v>XOM</x:v>
      </x:c>
      <x:c r="B52" s="14" t="str">
        <x:v>Energy</x:v>
      </x:c>
      <x:c r="C52" s="14" t="str">
        <x:v>nz_vs_baseline</x:v>
      </x:c>
      <x:c r="D52" s="47" t="str">
        <x:v>Net Zero 2050 vs baseline</x:v>
      </x:c>
      <x:c r="E52" s="14" t="str">
        <x:v>Net Zero vs baseline</x:v>
      </x:c>
      <x:c r="F52" s="14" t="str">
        <x:v>net_zero_2050</x:v>
      </x:c>
      <x:c r="G52" s="14" t="str">
        <x:v>baseline</x:v>
      </x:c>
      <x:c r="H52" s="14" t="str">
        <x:v>2050</x:v>
      </x:c>
      <x:c r="I52" s="14" t="str">
        <x:v>high</x:v>
      </x:c>
      <x:c r="J52" s="14" t="str">
        <x:v>True</x:v>
      </x:c>
      <x:c r="K52" s="14" t="str">
        <x:v>CFP-2026-003-R17-20260804T234500Z</x:v>
      </x:c>
      <x:c r="L5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2" s="66" t="str">
        <x:v>-85.76780622175431</x:v>
      </x:c>
      <x:c r="N52" s="68" t="str">
        <x:v>676608329467.1913</x:v>
      </x:c>
      <x:c r="O52" s="68" t="str">
        <x:v>96296208569.52168</x:v>
      </x:c>
      <x:c r="P52" s="68" t="str">
        <x:v>37562427566.9594</x:v>
      </x:c>
      <x:c r="Q52" s="68" t="str">
        <x:v>0.0</x:v>
      </x:c>
      <x:c r="R52" s="68" t="str">
        <x:v>-37562427566.9594</x:v>
      </x:c>
      <x:c r="S52" s="68" t="str">
        <x:v>24046905786.56586</x:v>
      </x:c>
      <x:c r="T52" s="66" t="str">
        <x:v>133.85856047040033</x:v>
      </x:c>
      <x:c r="U52" s="66" t="str">
        <x:v>0.9346785036291771</x:v>
      </x:c>
      <x:c r="V52" s="66" t="str">
        <x:v>3.1369828747354243</x:v>
      </x:c>
      <x:c r="W52" s="68" t="str">
        <x:v>50280524818.86867</x:v>
      </x:c>
      <x:c r="X52" s="68" t="str">
        <x:v>351087935.9096496</x:v>
      </x:c>
      <x:c r="Y52" s="68" t="str">
        <x:v>1178326920.1104143</x:v>
      </x:c>
      <x:c r="Z52" s="66" t="str">
        <x:v>-83.92874834641275</x:v>
      </x:c>
      <x:c r="AA52" s="66" t="str">
        <x:v>-0.5660491492106192</x:v>
      </x:c>
      <x:c r="AB52" s="66" t="str">
        <x:v>-1.2730087261309253</x:v>
      </x:c>
      <x:c r="AC52" s="68" t="str">
        <x:v>46263598877.84077</x:v>
      </x:c>
      <x:c r="AD52" s="68" t="str">
        <x:v>2335422058.7371545</x:v>
      </x:c>
      <x:c r="AE52" s="68" t="str">
        <x:v>1681503882.2907512</x:v>
      </x:c>
      <x:c r="AF52" s="68" t="str">
        <x:v>142177296.57083622</x:v>
      </x:c>
      <x:c r="AG52" s="68" t="str">
        <x:v>208910639.33881336</x:v>
      </x:c>
      <x:c r="AH52" s="70" t="str">
        <x:v>104000000.0</x:v>
      </x:c>
      <x:c r="AI52" s="70" t="str">
        <x:v>7000000.0</x:v>
      </x:c>
      <x:c r="AJ52" s="70" t="str">
        <x:v>630000000.0</x:v>
      </x:c>
      <x:c r="AK52" s="68" t="str">
        <x:v>299373000000.0</x:v>
      </x:c>
      <x:c r="AL52" s="66" t="str">
        <x:v>0.18613243120519987</x:v>
      </x:c>
      <x:c r="AM52" s="70" t="str">
        <x:v>49.0</x:v>
      </x:c>
      <x:c r="AN52" s="70" t="str">
        <x:v>68.0</x:v>
      </x:c>
      <x:c r="AO52" s="66" t="str">
        <x:v>72.05882352941177</x:v>
      </x:c>
      <x:c r="AP52" s="14" t="str">
        <x:v>Medium</x:v>
      </x:c>
      <x:c r="AQ52" s="47" t="str">
        <x:v>Issuer facility-to-FEMA county match</x:v>
      </x:c>
      <x:c r="AR52" s="66" t="str">
        <x:v>0.18613243120519987</x:v>
      </x:c>
      <x:c r="AS52" s="66" t="str">
        <x:v>6.952114548720453</x:v>
      </x:c>
      <x:c r="AT52" s="66" t="str">
        <x:v>0.0</x:v>
      </x:c>
      <x:c r="AU52" s="66" t="str">
        <x:v>5.418008975739499</x:v>
      </x:c>
      <x:c r="AV52" s="66" t="str">
        <x:v>1.7999999999999998</x:v>
      </x:c>
      <x:c r="AW52" s="72" t="str">
        <x:v>1.0</x:v>
      </x:c>
      <x:c r="AX52" s="72" t="str">
        <x:v>0.3</x:v>
      </x:c>
      <x:c r="AY52" s="72" t="str">
        <x:v>0.75</x:v>
      </x:c>
      <x:c r="AZ52" s="72" t="str">
        <x:v>0.006</x:v>
      </x:c>
      <x:c r="BA52" s="72" t="str">
        <x:v>0.01</x:v>
      </x:c>
      <x:c r="BB52" s="72" t="str">
        <x:v>0.6075</x:v>
      </x:c>
      <x:c r="BC52" s="72" t="str">
        <x:v>0.3</x:v>
      </x:c>
      <x:c r="BD52" s="72" t="str">
        <x:v>0.2</x:v>
      </x:c>
      <x:c r="BE52" s="72" t="str">
        <x:v>0.4</x:v>
      </x:c>
      <x:c r="BF52" s="14" t="str">
        <x:v>0.6</x:v>
      </x:c>
      <x:c r="BG52" s="72" t="str">
        <x:v>1.0</x:v>
      </x:c>
      <x:c r="BH52" s="74" t="str">
        <x:v>1.0456609582451413</x:v>
      </x:c>
      <x:c r="BI52" s="47" t="str">
        <x:v>Common scenario elasticity + issuer SEC CapEx/CFO dependency scale</x:v>
      </x:c>
      <x:c r="BJ52" s="47" t="str">
        <x:v>Modeled estimate using observed inputs + disclosed assumptions</x:v>
      </x:c>
      <x:c r="BK52" s="14" t="str">
        <x:v>False</x:v>
      </x:c>
      <x:c r="BL52" s="14" t="str">
        <x:v>False</x:v>
      </x:c>
      <x:c r="BM52" s="14" t="str">
        <x:v>False</x:v>
      </x:c>
      <x:c r="BN52" s="47" t="str">
        <x:v>Conditional scenario sensitivity; not a forecast or probability</x:v>
      </x:c>
      <x:c r="BO52" s="66" t="str">
        <x:v>702.6323668586697</x:v>
      </x:c>
    </x:row>
    <x:row r="53">
      <x:c r="A53" s="14" t="str">
        <x:v>AAPL</x:v>
      </x:c>
      <x:c r="B53" s="14" t="str">
        <x:v>Technology</x:v>
      </x:c>
      <x:c r="C53" s="14" t="str">
        <x:v>below2c_vs_cp</x:v>
      </x:c>
      <x:c r="D53" s="47" t="str">
        <x:v>Below 2°C vs Current Policies</x:v>
      </x:c>
      <x:c r="E53" s="14" t="str">
        <x:v>Below 2°C vs CP</x:v>
      </x:c>
      <x:c r="F53" s="14" t="str">
        <x:v>below_2c</x:v>
      </x:c>
      <x:c r="G53" s="14" t="str">
        <x:v>current_policies</x:v>
      </x:c>
      <x:c r="H53" s="14" t="str">
        <x:v>2050</x:v>
      </x:c>
      <x:c r="I53" s="14" t="str">
        <x:v>low</x:v>
      </x:c>
      <x:c r="J53" s="14" t="str">
        <x:v>True</x:v>
      </x:c>
      <x:c r="K53" s="14" t="str">
        <x:v>CFP-2026-003-R17-20260804T234500Z</x:v>
      </x:c>
      <x:c r="L5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3" s="66" t="str">
        <x:v>0.021811744638133845</x:v>
      </x:c>
      <x:c r="N53" s="68" t="str">
        <x:v>1507718300934.697</x:v>
      </x:c>
      <x:c r="O53" s="68" t="str">
        <x:v>1508047160600.3594</x:v>
      </x:c>
      <x:c r="P53" s="68" t="str">
        <x:v>189627574241.53833</x:v>
      </x:c>
      <x:c r="Q53" s="68" t="str">
        <x:v>189713947479.75287</x:v>
      </x:c>
      <x:c r="R53" s="68" t="str">
        <x:v>86373238.21453857</x:v>
      </x:c>
      <x:c r="S53" s="68" t="str">
        <x:v>102784466009.31221</x:v>
      </x:c>
      <x:c r="T53" s="66" t="str">
        <x:v>0.0010273649020662587</x:v>
      </x:c>
      <x:c r="U53" s="66" t="str">
        <x:v>-0.003370367292142324</x:v>
      </x:c>
      <x:c r="V53" s="66" t="str">
        <x:v>-0.042983800075348425</x:v>
      </x:c>
      <x:c r="W53" s="68" t="str">
        <x:v>1957712.1833624276</x:v>
      </x:c>
      <x:c r="X53" s="68" t="str">
        <x:v>-6422459.144713625</x:v>
      </x:c>
      <x:c r="Y53" s="68" t="str">
        <x:v>-81908491.25318599</x:v>
      </x:c>
      <x:c r="Z53" s="66" t="str">
        <x:v>-0.0013446471025409502</x:v>
      </x:c>
      <x:c r="AA53" s="66" t="str">
        <x:v>0.0013043167051469764</x:v>
      </x:c>
      <x:c r="AB53" s="66" t="str">
        <x:v>0.021852075035532267</x:v>
      </x:c>
      <x:c r="AC53" s="68" t="str">
        <x:v>301669.9351569712</x:v>
      </x:c>
      <x:c r="AD53" s="68" t="str">
        <x:v>4508.6539221829935</x:v>
      </x:c>
      <x:c r="AE53" s="68" t="str">
        <x:v>1651533.5942832734</x:v>
      </x:c>
      <x:c r="AF53" s="68" t="str">
        <x:v>-489972.89683648315</x:v>
      </x:c>
      <x:c r="AG53" s="68" t="str">
        <x:v>-5932486.247877151</x:v>
      </x:c>
      <x:c r="AH53" s="70" t="str">
        <x:v>55200.0</x:v>
      </x:c>
      <x:c r="AI53" s="70" t="str">
        <x:v>3300.0</x:v>
      </x:c>
      <x:c r="AJ53" s="70" t="str">
        <x:v>15110000.0</x:v>
      </x:c>
      <x:c r="AK53" s="68" t="str">
        <x:v>50159000000.0</x:v>
      </x:c>
      <x:c r="AL53" s="66" t="str">
        <x:v>0.18089619337783003</x:v>
      </x:c>
      <x:c r="AM53" s="70" t="str">
        <x:v>0.0</x:v>
      </x:c>
      <x:c r="AN53" s="70" t="str">
        <x:v>0.0</x:v>
      </x:c>
      <x:c r="AO53" s="66" t="str"/>
      <x:c r="AP53" s="14" t="str">
        <x:v>Unverified</x:v>
      </x:c>
      <x:c r="AQ53" s="47" t="str">
        <x:v>Proxy fallback; no issuer facilities in governed match file</x:v>
      </x:c>
      <x:c r="AR53" s="66" t="str"/>
      <x:c r="AS53" s="66" t="str">
        <x:v>7.164771051868868</x:v>
      </x:c>
      <x:c r="AT53" s="66" t="str">
        <x:v>7.579869737287252</x:v>
      </x:c>
      <x:c r="AU53" s="66" t="str">
        <x:v>9.468635607765986</x:v>
      </x:c>
      <x:c r="AV53" s="66" t="str">
        <x:v>2.5</x:v>
      </x:c>
      <x:c r="AW53" s="72" t="str">
        <x:v>0.5</x:v>
      </x:c>
      <x:c r="AX53" s="72" t="str">
        <x:v>0.7</x:v>
      </x:c>
      <x:c r="AY53" s="72" t="str">
        <x:v>0.25</x:v>
      </x:c>
      <x:c r="AZ53" s="72" t="str">
        <x:v>0.01</x:v>
      </x:c>
      <x:c r="BA53" s="72" t="str">
        <x:v>0.05</x:v>
      </x:c>
      <x:c r="BB53" s="72" t="str">
        <x:v>0.06</x:v>
      </x:c>
      <x:c r="BC53" s="72" t="str">
        <x:v>0.7</x:v>
      </x:c>
      <x:c r="BD53" s="72" t="str">
        <x:v>0.05</x:v>
      </x:c>
      <x:c r="BE53" s="72" t="str">
        <x:v>0.15</x:v>
      </x:c>
      <x:c r="BF53" s="14" t="str">
        <x:v>0.7</x:v>
      </x:c>
      <x:c r="BG53" s="72" t="str">
        <x:v>0.35</x:v>
      </x:c>
      <x:c r="BH53" s="74" t="str">
        <x:v>0.6140542867906926</x:v>
      </x:c>
      <x:c r="BI53" s="47" t="str">
        <x:v>Common scenario elasticity + issuer SEC CapEx/CFO dependency scale</x:v>
      </x:c>
      <x:c r="BJ53" s="47" t="str">
        <x:v>Modeled estimate using observed inputs + disclosed assumptions</x:v>
      </x:c>
      <x:c r="BK53" s="14" t="str">
        <x:v>False</x:v>
      </x:c>
      <x:c r="BL53" s="14" t="str">
        <x:v>False</x:v>
      </x:c>
      <x:c r="BM53" s="14" t="str">
        <x:v>False</x:v>
      </x:c>
      <x:c r="BN53" s="47" t="str">
        <x:v>Conditional scenario sensitivity; not a forecast or probability</x:v>
      </x:c>
      <x:c r="BO53" s="66" t="str">
        <x:v>99.97819301184643</x:v>
      </x:c>
    </x:row>
    <x:row r="54">
      <x:c r="A54" s="14" t="str">
        <x:v>AAPL</x:v>
      </x:c>
      <x:c r="B54" s="14" t="str">
        <x:v>Technology</x:v>
      </x:c>
      <x:c r="C54" s="14" t="str">
        <x:v>below2c_vs_cp</x:v>
      </x:c>
      <x:c r="D54" s="47" t="str">
        <x:v>Below 2°C vs Current Policies</x:v>
      </x:c>
      <x:c r="E54" s="14" t="str">
        <x:v>Below 2°C vs CP</x:v>
      </x:c>
      <x:c r="F54" s="14" t="str">
        <x:v>below_2c</x:v>
      </x:c>
      <x:c r="G54" s="14" t="str">
        <x:v>current_policies</x:v>
      </x:c>
      <x:c r="H54" s="14" t="str">
        <x:v>2050</x:v>
      </x:c>
      <x:c r="I54" s="14" t="str">
        <x:v>base</x:v>
      </x:c>
      <x:c r="J54" s="14" t="str">
        <x:v>True</x:v>
      </x:c>
      <x:c r="K54" s="14" t="str">
        <x:v>CFP-2026-003-R17-20260804T234500Z</x:v>
      </x:c>
      <x:c r="L5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4" s="66" t="str">
        <x:v>0.03618869003534364</x:v>
      </x:c>
      <x:c r="N54" s="68" t="str">
        <x:v>1503457561146.2407</x:v>
      </x:c>
      <x:c r="O54" s="68" t="str">
        <x:v>1504001642742.857</x:v>
      </x:c>
      <x:c r="P54" s="68" t="str">
        <x:v>188786699408.97568</x:v>
      </x:c>
      <x:c r="Q54" s="68" t="str">
        <x:v>188937674735.42075</x:v>
      </x:c>
      <x:c r="R54" s="68" t="str">
        <x:v>150975326.44506836</x:v>
      </x:c>
      <x:c r="S54" s="68" t="str">
        <x:v>102784466009.31221</x:v>
      </x:c>
      <x:c r="T54" s="66" t="str">
        <x:v>0.00554964612486828</x:v>
      </x:c>
      <x:c r="U54" s="66" t="str">
        <x:v>-0.011091709222971986</x:v>
      </x:c>
      <x:c r="V54" s="66" t="str">
        <x:v>-0.07368651441488303</x:v>
      </x:c>
      <x:c r="W54" s="68" t="str">
        <x:v>10575219.973111378</x:v>
      </x:c>
      <x:c r="X54" s="68" t="str">
        <x:v>-21135989.984136343</x:v>
      </x:c>
      <x:c r="Y54" s="68" t="str">
        <x:v>-140414556.43403316</x:v>
      </x:c>
      <x:c r="Z54" s="66" t="str">
        <x:v>-0.005651178089313839</x:v>
      </x:c>
      <x:c r="AA54" s="66" t="str">
        <x:v>0.004273005908350268</x:v>
      </x:c>
      <x:c r="AB54" s="66" t="str">
        <x:v>0.037566862216311246</x:v>
      </x:c>
      <x:c r="AC54" s="68" t="str">
        <x:v>1269624.4082700142</x:v>
      </x:c>
      <x:c r="AD54" s="68" t="str">
        <x:v>37950.7295950276</x:v>
      </x:c>
      <x:c r="AE54" s="68" t="str">
        <x:v>9267644.835246338</x:v>
      </x:c>
      <x:c r="AF54" s="68" t="str">
        <x:v>-1361035.8245457867</x:v>
      </x:c>
      <x:c r="AG54" s="68" t="str">
        <x:v>-19774954.159590542</x:v>
      </x:c>
      <x:c r="AH54" s="70" t="str">
        <x:v>55200.0</x:v>
      </x:c>
      <x:c r="AI54" s="70" t="str">
        <x:v>3300.0</x:v>
      </x:c>
      <x:c r="AJ54" s="70" t="str">
        <x:v>15110000.0</x:v>
      </x:c>
      <x:c r="AK54" s="68" t="str">
        <x:v>50159000000.0</x:v>
      </x:c>
      <x:c r="AL54" s="66" t="str">
        <x:v>0.18089619337783003</x:v>
      </x:c>
      <x:c r="AM54" s="70" t="str">
        <x:v>0.0</x:v>
      </x:c>
      <x:c r="AN54" s="70" t="str">
        <x:v>0.0</x:v>
      </x:c>
      <x:c r="AO54" s="66" t="str"/>
      <x:c r="AP54" s="14" t="str">
        <x:v>Unverified</x:v>
      </x:c>
      <x:c r="AQ54" s="47" t="str">
        <x:v>Proxy fallback; no issuer facilities in governed match file</x:v>
      </x:c>
      <x:c r="AR54" s="66" t="str"/>
      <x:c r="AS54" s="66" t="str">
        <x:v>7.164771051868868</x:v>
      </x:c>
      <x:c r="AT54" s="66" t="str">
        <x:v>7.579869737287252</x:v>
      </x:c>
      <x:c r="AU54" s="66" t="str">
        <x:v>9.468635607765986</x:v>
      </x:c>
      <x:c r="AV54" s="66" t="str">
        <x:v>2.5</x:v>
      </x:c>
      <x:c r="AW54" s="72" t="str">
        <x:v>0.75</x:v>
      </x:c>
      <x:c r="AX54" s="72" t="str">
        <x:v>0.5</x:v>
      </x:c>
      <x:c r="AY54" s="72" t="str">
        <x:v>0.5</x:v>
      </x:c>
      <x:c r="AZ54" s="72" t="str">
        <x:v>0.02</x:v>
      </x:c>
      <x:c r="BA54" s="72" t="str">
        <x:v>0.03</x:v>
      </x:c>
      <x:c r="BB54" s="72" t="str">
        <x:v>0.1</x:v>
      </x:c>
      <x:c r="BC54" s="72" t="str">
        <x:v>0.5</x:v>
      </x:c>
      <x:c r="BD54" s="72" t="str">
        <x:v>0.1</x:v>
      </x:c>
      <x:c r="BE54" s="72" t="str">
        <x:v>0.25</x:v>
      </x:c>
      <x:c r="BF54" s="14" t="str">
        <x:v>0.7</x:v>
      </x:c>
      <x:c r="BG54" s="72" t="str">
        <x:v>0.6</x:v>
      </x:c>
      <x:c r="BH54" s="74" t="str">
        <x:v>0.6140542867906926</x:v>
      </x:c>
      <x:c r="BI54" s="47" t="str">
        <x:v>Common scenario elasticity + issuer SEC CapEx/CFO dependency scale</x:v>
      </x:c>
      <x:c r="BJ54" s="47" t="str">
        <x:v>Modeled estimate using observed inputs + disclosed assumptions</x:v>
      </x:c>
      <x:c r="BK54" s="14" t="str">
        <x:v>False</x:v>
      </x:c>
      <x:c r="BL54" s="14" t="str">
        <x:v>False</x:v>
      </x:c>
      <x:c r="BM54" s="14" t="str">
        <x:v>False</x:v>
      </x:c>
      <x:c r="BN54" s="47" t="str">
        <x:v>Conditional scenario sensitivity; not a forecast or probability</x:v>
      </x:c>
      <x:c r="BO54" s="66" t="str">
        <x:v>99.96382440143988</x:v>
      </x:c>
    </x:row>
    <x:row r="55">
      <x:c r="A55" s="14" t="str">
        <x:v>AAPL</x:v>
      </x:c>
      <x:c r="B55" s="14" t="str">
        <x:v>Technology</x:v>
      </x:c>
      <x:c r="C55" s="14" t="str">
        <x:v>below2c_vs_cp</x:v>
      </x:c>
      <x:c r="D55" s="47" t="str">
        <x:v>Below 2°C vs Current Policies</x:v>
      </x:c>
      <x:c r="E55" s="14" t="str">
        <x:v>Below 2°C vs CP</x:v>
      </x:c>
      <x:c r="F55" s="14" t="str">
        <x:v>below_2c</x:v>
      </x:c>
      <x:c r="G55" s="14" t="str">
        <x:v>current_policies</x:v>
      </x:c>
      <x:c r="H55" s="14" t="str">
        <x:v>2050</x:v>
      </x:c>
      <x:c r="I55" s="14" t="str">
        <x:v>high</x:v>
      </x:c>
      <x:c r="J55" s="14" t="str">
        <x:v>True</x:v>
      </x:c>
      <x:c r="K55" s="14" t="str">
        <x:v>CFP-2026-003-R17-20260804T234500Z</x:v>
      </x:c>
      <x:c r="L5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5" s="66" t="str">
        <x:v>0.05581092689785905</x:v>
      </x:c>
      <x:c r="N55" s="68" t="str">
        <x:v>1493721609019.9338</x:v>
      </x:c>
      <x:c r="O55" s="68" t="str">
        <x:v>1494555268895.2014</x:v>
      </x:c>
      <x:c r="P55" s="68" t="str">
        <x:v>187051543444.54913</x:v>
      </x:c>
      <x:c r="Q55" s="68" t="str">
        <x:v>187304072459.6418</x:v>
      </x:c>
      <x:c r="R55" s="68" t="str">
        <x:v>252529015.09268188</x:v>
      </x:c>
      <x:c r="S55" s="68" t="str">
        <x:v>102784466009.31221</x:v>
      </x:c>
      <x:c r="T55" s="66" t="str">
        <x:v>0.02484691854987531</x:v>
      </x:c>
      <x:c r="U55" s="66" t="str">
        <x:v>-0.034557812378869186</x:v>
      </x:c>
      <x:c r="V55" s="66" t="str">
        <x:v>-0.12281085735813843</x:v>
      </x:c>
      <x:c r="W55" s="68" t="str">
        <x:v>47347456.64979667</x:v>
      </x:c>
      <x:c r="X55" s="68" t="str">
        <x:v>-65852211.019081354</x:v>
      </x:c>
      <x:c r="Y55" s="68" t="str">
        <x:v>-234024260.72338867</x:v>
      </x:c>
      <x:c r="Z55" s="66" t="str">
        <x:v>-0.02039753574039804</x:v>
      </x:c>
      <x:c r="AA55" s="66" t="str">
        <x:v>0.013188929517540053</x:v>
      </x:c>
      <x:c r="AB55" s="66" t="str">
        <x:v>0.06301953312071294</x:v>
      </x:c>
      <x:c r="AC55" s="68" t="str">
        <x:v>3947558.2178284577</x:v>
      </x:c>
      <x:c r="AD55" s="68" t="str">
        <x:v>176996.49617980854</x:v>
      </x:c>
      <x:c r="AE55" s="68" t="str">
        <x:v>43222901.9357884</x:v>
      </x:c>
      <x:c r="AF55" s="68" t="str">
        <x:v>-2572357.708391536</x:v>
      </x:c>
      <x:c r="AG55" s="68" t="str">
        <x:v>-63279853.31068969</x:v>
      </x:c>
      <x:c r="AH55" s="70" t="str">
        <x:v>55200.0</x:v>
      </x:c>
      <x:c r="AI55" s="70" t="str">
        <x:v>3300.0</x:v>
      </x:c>
      <x:c r="AJ55" s="70" t="str">
        <x:v>15110000.0</x:v>
      </x:c>
      <x:c r="AK55" s="68" t="str">
        <x:v>50159000000.0</x:v>
      </x:c>
      <x:c r="AL55" s="66" t="str">
        <x:v>0.18089619337783003</x:v>
      </x:c>
      <x:c r="AM55" s="70" t="str">
        <x:v>0.0</x:v>
      </x:c>
      <x:c r="AN55" s="70" t="str">
        <x:v>0.0</x:v>
      </x:c>
      <x:c r="AO55" s="66" t="str"/>
      <x:c r="AP55" s="14" t="str">
        <x:v>Unverified</x:v>
      </x:c>
      <x:c r="AQ55" s="47" t="str">
        <x:v>Proxy fallback; no issuer facilities in governed match file</x:v>
      </x:c>
      <x:c r="AR55" s="66" t="str"/>
      <x:c r="AS55" s="66" t="str">
        <x:v>7.164771051868868</x:v>
      </x:c>
      <x:c r="AT55" s="66" t="str">
        <x:v>7.579869737287252</x:v>
      </x:c>
      <x:c r="AU55" s="66" t="str">
        <x:v>9.468635607765986</x:v>
      </x:c>
      <x:c r="AV55" s="66" t="str">
        <x:v>2.5</x:v>
      </x:c>
      <x:c r="AW55" s="72" t="str">
        <x:v>1.0</x:v>
      </x:c>
      <x:c r="AX55" s="72" t="str">
        <x:v>0.3</x:v>
      </x:c>
      <x:c r="AY55" s="72" t="str">
        <x:v>0.75</x:v>
      </x:c>
      <x:c r="AZ55" s="72" t="str">
        <x:v>0.04</x:v>
      </x:c>
      <x:c r="BA55" s="72" t="str">
        <x:v>0.01</x:v>
      </x:c>
      <x:c r="BB55" s="72" t="str">
        <x:v>0.135</x:v>
      </x:c>
      <x:c r="BC55" s="72" t="str">
        <x:v>0.3</x:v>
      </x:c>
      <x:c r="BD55" s="72" t="str">
        <x:v>0.2</x:v>
      </x:c>
      <x:c r="BE55" s="72" t="str">
        <x:v>0.4</x:v>
      </x:c>
      <x:c r="BF55" s="14" t="str">
        <x:v>0.7</x:v>
      </x:c>
      <x:c r="BG55" s="72" t="str">
        <x:v>1.0</x:v>
      </x:c>
      <x:c r="BH55" s="74" t="str">
        <x:v>0.6140542867906926</x:v>
      </x:c>
      <x:c r="BI55" s="47" t="str">
        <x:v>Common scenario elasticity + issuer SEC CapEx/CFO dependency scale</x:v>
      </x:c>
      <x:c r="BJ55" s="47" t="str">
        <x:v>Modeled estimate using observed inputs + disclosed assumptions</x:v>
      </x:c>
      <x:c r="BK55" s="14" t="str">
        <x:v>False</x:v>
      </x:c>
      <x:c r="BL55" s="14" t="str">
        <x:v>False</x:v>
      </x:c>
      <x:c r="BM55" s="14" t="str">
        <x:v>False</x:v>
      </x:c>
      <x:c r="BN55" s="47" t="str">
        <x:v>Conditional scenario sensitivity; not a forecast or probability</x:v>
      </x:c>
      <x:c r="BO55" s="66" t="str">
        <x:v>99.94422020432313</x:v>
      </x:c>
    </x:row>
    <x:row r="56">
      <x:c r="A56" s="14" t="str">
        <x:v>CAT</x:v>
      </x:c>
      <x:c r="B56" s="14" t="str">
        <x:v>Industrials</x:v>
      </x:c>
      <x:c r="C56" s="14" t="str">
        <x:v>below2c_vs_cp</x:v>
      </x:c>
      <x:c r="D56" s="47" t="str">
        <x:v>Below 2°C vs Current Policies</x:v>
      </x:c>
      <x:c r="E56" s="14" t="str">
        <x:v>Below 2°C vs CP</x:v>
      </x:c>
      <x:c r="F56" s="14" t="str">
        <x:v>below_2c</x:v>
      </x:c>
      <x:c r="G56" s="14" t="str">
        <x:v>current_policies</x:v>
      </x:c>
      <x:c r="H56" s="14" t="str">
        <x:v>2050</x:v>
      </x:c>
      <x:c r="I56" s="14" t="str">
        <x:v>low</x:v>
      </x:c>
      <x:c r="J56" s="14" t="str">
        <x:v>True</x:v>
      </x:c>
      <x:c r="K56" s="14" t="str">
        <x:v>CFP-2026-003-R17-20260804T234500Z</x:v>
      </x:c>
      <x:c r="L5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6" s="66" t="str">
        <x:v>-0.21494917429490945</x:v>
      </x:c>
      <x:c r="N56" s="68" t="str">
        <x:v>121296687019.01277</x:v>
      </x:c>
      <x:c r="O56" s="68" t="str">
        <x:v>121035960791.81833</x:v>
      </x:c>
      <x:c r="P56" s="68" t="str">
        <x:v>18219673443.99643</x:v>
      </x:c>
      <x:c r="Q56" s="68" t="str">
        <x:v>18195607973.500595</x:v>
      </x:c>
      <x:c r="R56" s="68" t="str">
        <x:v>-24065470.49583435</x:v>
      </x:c>
      <x:c r="S56" s="68" t="str">
        <x:v>10636693843.707409</x:v>
      </x:c>
      <x:c r="T56" s="66" t="str">
        <x:v>0.187645054307124</x:v>
      </x:c>
      <x:c r="U56" s="66" t="str">
        <x:v>-0.004508057173744168</x:v>
      </x:c>
      <x:c r="V56" s="66" t="str">
        <x:v>-0.05182170542635642</x:v>
      </x:c>
      <x:c r="W56" s="68" t="str">
        <x:v>34388733.09737757</x:v>
      </x:c>
      <x:c r="X56" s="68" t="str">
        <x:v>-826168.1902997047</x:v>
      </x:c>
      <x:c r="Y56" s="68" t="str">
        <x:v>-9497094.41124469</x:v>
      </x:c>
      <x:c r="Z56" s="66" t="str">
        <x:v>-0.23925635271163245</x:v>
      </x:c>
      <x:c r="AA56" s="66" t="str">
        <x:v>0.0016349255463849622</x:v>
      </x:c>
      <x:c r="AB56" s="66" t="str">
        <x:v>0.02267225287034285</x:v>
      </x:c>
      <x:c r="AC56" s="68" t="str">
        <x:v>3716223.8388902256</x:v>
      </x:c>
      <x:c r="AD56" s="68" t="str">
        <x:v>942718.547365535</x:v>
      </x:c>
      <x:c r="AE56" s="68" t="str">
        <x:v>29729790.711121805</x:v>
      </x:c>
      <x:c r="AF56" s="68" t="str">
        <x:v>-255620.86274152773</x:v>
      </x:c>
      <x:c r="AG56" s="68" t="str">
        <x:v>-570547.3275581766</x:v>
      </x:c>
      <x:c r="AH56" s="70" t="str">
        <x:v>680000.0</x:v>
      </x:c>
      <x:c r="AI56" s="70" t="str">
        <x:v>690000.0</x:v>
      </x:c>
      <x:c r="AJ56" s="70" t="str">
        <x:v>680000000.0</x:v>
      </x:c>
      <x:c r="AK56" s="68" t="str">
        <x:v>15140000000.0</x:v>
      </x:c>
      <x:c r="AL56" s="66" t="str">
        <x:v>0.1250652491518801</x:v>
      </x:c>
      <x:c r="AM56" s="70" t="str">
        <x:v>7.0</x:v>
      </x:c>
      <x:c r="AN56" s="70" t="str">
        <x:v>7.0</x:v>
      </x:c>
      <x:c r="AO56" s="66" t="str">
        <x:v>100.0</x:v>
      </x:c>
      <x:c r="AP56" s="14" t="str">
        <x:v>High</x:v>
      </x:c>
      <x:c r="AQ56" s="47" t="str">
        <x:v>Issuer facility-to-FEMA county match</x:v>
      </x:c>
      <x:c r="AR56" s="66" t="str">
        <x:v>0.1250652491518801</x:v>
      </x:c>
      <x:c r="AS56" s="66" t="str">
        <x:v>7.164771051868868</x:v>
      </x:c>
      <x:c r="AT56" s="66" t="str">
        <x:v>7.579869737287252</x:v>
      </x:c>
      <x:c r="AU56" s="66" t="str">
        <x:v>11.136677389433892</x:v>
      </x:c>
      <x:c r="AV56" s="66" t="str">
        <x:v>2.1999999999999997</x:v>
      </x:c>
      <x:c r="AW56" s="72" t="str">
        <x:v>0.5</x:v>
      </x:c>
      <x:c r="AX56" s="72" t="str">
        <x:v>0.7</x:v>
      </x:c>
      <x:c r="AY56" s="72" t="str">
        <x:v>0.25</x:v>
      </x:c>
      <x:c r="AZ56" s="72" t="str">
        <x:v>0.004</x:v>
      </x:c>
      <x:c r="BA56" s="72" t="str">
        <x:v>0.05</x:v>
      </x:c>
      <x:c r="BB56" s="72" t="str">
        <x:v>0.15</x:v>
      </x:c>
      <x:c r="BC56" s="72" t="str">
        <x:v>0.7</x:v>
      </x:c>
      <x:c r="BD56" s="72" t="str">
        <x:v>0.05</x:v>
      </x:c>
      <x:c r="BE56" s="72" t="str">
        <x:v>0.15</x:v>
      </x:c>
      <x:c r="BF56" s="14" t="str">
        <x:v>0.7</x:v>
      </x:c>
      <x:c r="BG56" s="72" t="str">
        <x:v>0.35</x:v>
      </x:c>
      <x:c r="BH56" s="74" t="str">
        <x:v>0.7403100775193798</x:v>
      </x:c>
      <x:c r="BI56" s="47" t="str">
        <x:v>Common scenario elasticity + issuer SEC CapEx/CFO dependency scale</x:v>
      </x:c>
      <x:c r="BJ56" s="47" t="str">
        <x:v>Modeled estimate using observed inputs + disclosed assumptions</x:v>
      </x:c>
      <x:c r="BK56" s="14" t="str">
        <x:v>False</x:v>
      </x:c>
      <x:c r="BL56" s="14" t="str">
        <x:v>False</x:v>
      </x:c>
      <x:c r="BM56" s="14" t="str">
        <x:v>False</x:v>
      </x:c>
      <x:c r="BN56" s="47" t="str">
        <x:v>Conditional scenario sensitivity; not a forecast or probability</x:v>
      </x:c>
      <x:c r="BO56" s="66" t="str">
        <x:v>100.21541220104237</x:v>
      </x:c>
    </x:row>
    <x:row r="57">
      <x:c r="A57" s="14" t="str">
        <x:v>CAT</x:v>
      </x:c>
      <x:c r="B57" s="14" t="str">
        <x:v>Industrials</x:v>
      </x:c>
      <x:c r="C57" s="14" t="str">
        <x:v>below2c_vs_cp</x:v>
      </x:c>
      <x:c r="D57" s="47" t="str">
        <x:v>Below 2°C vs Current Policies</x:v>
      </x:c>
      <x:c r="E57" s="14" t="str">
        <x:v>Below 2°C vs CP</x:v>
      </x:c>
      <x:c r="F57" s="14" t="str">
        <x:v>below_2c</x:v>
      </x:c>
      <x:c r="G57" s="14" t="str">
        <x:v>current_policies</x:v>
      </x:c>
      <x:c r="H57" s="14" t="str">
        <x:v>2050</x:v>
      </x:c>
      <x:c r="I57" s="14" t="str">
        <x:v>base</x:v>
      </x:c>
      <x:c r="J57" s="14" t="str">
        <x:v>True</x:v>
      </x:c>
      <x:c r="K57" s="14" t="str">
        <x:v>CFP-2026-003-R17-20260804T234500Z</x:v>
      </x:c>
      <x:c r="L5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7" s="66" t="str">
        <x:v>-0.9584513435582087</x:v>
      </x:c>
      <x:c r="N57" s="68" t="str">
        <x:v>120936406956.92093</x:v>
      </x:c>
      <x:c r="O57" s="68" t="str">
        <x:v>119777290339.5913</x:v>
      </x:c>
      <x:c r="P57" s="68" t="str">
        <x:v>18123449359.74854</x:v>
      </x:c>
      <x:c r="Q57" s="68" t="str">
        <x:v>17951936648.23201</x:v>
      </x:c>
      <x:c r="R57" s="68" t="str">
        <x:v>-171512711.51652908</x:v>
      </x:c>
      <x:c r="S57" s="68" t="str">
        <x:v>10636693843.707409</x:v>
      </x:c>
      <x:c r="T57" s="66" t="str">
        <x:v>1.0389629026474163</x:v>
      </x:c>
      <x:c r="U57" s="66" t="str">
        <x:v>-0.014251958894088122</x:v>
      </x:c>
      <x:c r="V57" s="66" t="str">
        <x:v>-0.08883720930232542</x:v>
      </x:c>
      <x:c r="W57" s="68" t="str">
        <x:v>190405327.17020413</x:v>
      </x:c>
      <x:c r="X57" s="68" t="str">
        <x:v>-2611882.377253711</x:v>
      </x:c>
      <x:c r="Y57" s="68" t="str">
        <x:v>-16280733.27641949</x:v>
      </x:c>
      <x:c r="Z57" s="66" t="str">
        <x:v>-1.0024883945819436</x:v>
      </x:c>
      <x:c r="AA57" s="66" t="str">
        <x:v>0.005054544484517719</x:v>
      </x:c>
      <x:c r="AB57" s="66" t="str">
        <x:v>0.038982506539213965</x:v>
      </x:c>
      <x:c r="AC57" s="68" t="str">
        <x:v>15640300.681587137</x:v>
      </x:c>
      <x:c r="AD57" s="68" t="str">
        <x:v>7935152.55168759</x:v>
      </x:c>
      <x:c r="AE57" s="68" t="str">
        <x:v>166829873.9369294</x:v>
      </x:c>
      <x:c r="AF57" s="68" t="str">
        <x:v>-710057.9520597993</x:v>
      </x:c>
      <x:c r="AG57" s="68" t="str">
        <x:v>-1901824.425193917</x:v>
      </x:c>
      <x:c r="AH57" s="70" t="str">
        <x:v>680000.0</x:v>
      </x:c>
      <x:c r="AI57" s="70" t="str">
        <x:v>690000.0</x:v>
      </x:c>
      <x:c r="AJ57" s="70" t="str">
        <x:v>680000000.0</x:v>
      </x:c>
      <x:c r="AK57" s="68" t="str">
        <x:v>15140000000.0</x:v>
      </x:c>
      <x:c r="AL57" s="66" t="str">
        <x:v>0.1250652491518801</x:v>
      </x:c>
      <x:c r="AM57" s="70" t="str">
        <x:v>7.0</x:v>
      </x:c>
      <x:c r="AN57" s="70" t="str">
        <x:v>7.0</x:v>
      </x:c>
      <x:c r="AO57" s="66" t="str">
        <x:v>100.0</x:v>
      </x:c>
      <x:c r="AP57" s="14" t="str">
        <x:v>High</x:v>
      </x:c>
      <x:c r="AQ57" s="47" t="str">
        <x:v>Issuer facility-to-FEMA county match</x:v>
      </x:c>
      <x:c r="AR57" s="66" t="str">
        <x:v>0.1250652491518801</x:v>
      </x:c>
      <x:c r="AS57" s="66" t="str">
        <x:v>7.164771051868868</x:v>
      </x:c>
      <x:c r="AT57" s="66" t="str">
        <x:v>7.579869737287252</x:v>
      </x:c>
      <x:c r="AU57" s="66" t="str">
        <x:v>11.136677389433892</x:v>
      </x:c>
      <x:c r="AV57" s="66" t="str">
        <x:v>2.1999999999999997</x:v>
      </x:c>
      <x:c r="AW57" s="72" t="str">
        <x:v>0.75</x:v>
      </x:c>
      <x:c r="AX57" s="72" t="str">
        <x:v>0.5</x:v>
      </x:c>
      <x:c r="AY57" s="72" t="str">
        <x:v>0.5</x:v>
      </x:c>
      <x:c r="AZ57" s="72" t="str">
        <x:v>0.008</x:v>
      </x:c>
      <x:c r="BA57" s="72" t="str">
        <x:v>0.03</x:v>
      </x:c>
      <x:c r="BB57" s="72" t="str">
        <x:v>0.25</x:v>
      </x:c>
      <x:c r="BC57" s="72" t="str">
        <x:v>0.5</x:v>
      </x:c>
      <x:c r="BD57" s="72" t="str">
        <x:v>0.1</x:v>
      </x:c>
      <x:c r="BE57" s="72" t="str">
        <x:v>0.25</x:v>
      </x:c>
      <x:c r="BF57" s="14" t="str">
        <x:v>0.7</x:v>
      </x:c>
      <x:c r="BG57" s="72" t="str">
        <x:v>0.6</x:v>
      </x:c>
      <x:c r="BH57" s="74" t="str">
        <x:v>0.7403100775193798</x:v>
      </x:c>
      <x:c r="BI57" s="47" t="str">
        <x:v>Common scenario elasticity + issuer SEC CapEx/CFO dependency scale</x:v>
      </x:c>
      <x:c r="BJ57" s="47" t="str">
        <x:v>Modeled estimate using observed inputs + disclosed assumptions</x:v>
      </x:c>
      <x:c r="BK57" s="14" t="str">
        <x:v>False</x:v>
      </x:c>
      <x:c r="BL57" s="14" t="str">
        <x:v>False</x:v>
      </x:c>
      <x:c r="BM57" s="14" t="str">
        <x:v>False</x:v>
      </x:c>
      <x:c r="BN57" s="47" t="str">
        <x:v>Conditional scenario sensitivity; not a forecast or probability</x:v>
      </x:c>
      <x:c r="BO57" s="66" t="str">
        <x:v>100.96772653150134</x:v>
      </x:c>
    </x:row>
    <x:row r="58">
      <x:c r="A58" s="14" t="str">
        <x:v>CAT</x:v>
      </x:c>
      <x:c r="B58" s="14" t="str">
        <x:v>Industrials</x:v>
      </x:c>
      <x:c r="C58" s="14" t="str">
        <x:v>below2c_vs_cp</x:v>
      </x:c>
      <x:c r="D58" s="47" t="str">
        <x:v>Below 2°C vs Current Policies</x:v>
      </x:c>
      <x:c r="E58" s="14" t="str">
        <x:v>Below 2°C vs CP</x:v>
      </x:c>
      <x:c r="F58" s="14" t="str">
        <x:v>below_2c</x:v>
      </x:c>
      <x:c r="G58" s="14" t="str">
        <x:v>current_policies</x:v>
      </x:c>
      <x:c r="H58" s="14" t="str">
        <x:v>2050</x:v>
      </x:c>
      <x:c r="I58" s="14" t="str">
        <x:v>high</x:v>
      </x:c>
      <x:c r="J58" s="14" t="str">
        <x:v>True</x:v>
      </x:c>
      <x:c r="K58" s="14" t="str">
        <x:v>CFP-2026-003-R17-20260804T234500Z</x:v>
      </x:c>
      <x:c r="L5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8" s="66" t="str">
        <x:v>-3.4807646846029217</x:v>
      </x:c>
      <x:c r="N58" s="68" t="str">
        <x:v>120111991518.46048</x:v>
      </x:c>
      <x:c r="O58" s="68" t="str">
        <x:v>115931175735.71265</x:v>
      </x:c>
      <x:c r="P58" s="68" t="str">
        <x:v>17925340955.849358</x:v>
      </x:c>
      <x:c r="Q58" s="68" t="str">
        <x:v>17096196214.510519</x:v>
      </x:c>
      <x:c r="R58" s="68" t="str">
        <x:v>-829144741.3388386</x:v>
      </x:c>
      <x:c r="S58" s="68" t="str">
        <x:v>10636693843.707409</x:v>
      </x:c>
      <x:c r="T58" s="66" t="str">
        <x:v>4.712891678046494</x:v>
      </x:c>
      <x:c r="U58" s="66" t="str">
        <x:v>-0.04053068425727877</x:v>
      </x:c>
      <x:c r="V58" s="66" t="str">
        <x:v>-0.14806201550387563</x:v>
      </x:c>
      <x:c r="W58" s="68" t="str">
        <x:v>863707144.4895507</x:v>
      </x:c>
      <x:c r="X58" s="68" t="str">
        <x:v>-7427847.690013573</x:v>
      </x:c>
      <x:c r="Y58" s="68" t="str">
        <x:v>-27134555.46069914</x:v>
      </x:c>
      <x:c r="Z58" s="66" t="str">
        <x:v>-3.559753584090085</x:v>
      </x:c>
      <x:c r="AA58" s="66" t="str">
        <x:v>0.013572113377417596</x:v>
      </x:c>
      <x:c r="AB58" s="66" t="str">
        <x:v>0.0654167861097426</x:v>
      </x:c>
      <x:c r="AC58" s="68" t="str">
        <x:v>48629340.36455347</x:v>
      </x:c>
      <x:c r="AD58" s="68" t="str">
        <x:v>37008358.292141795</x:v>
      </x:c>
      <x:c r="AE58" s="68" t="str">
        <x:v>778069445.8328555</x:v>
      </x:c>
      <x:c r="AF58" s="68" t="str">
        <x:v>-1342009.5293930206</x:v>
      </x:c>
      <x:c r="AG58" s="68" t="str">
        <x:v>-6085838.160620555</x:v>
      </x:c>
      <x:c r="AH58" s="70" t="str">
        <x:v>680000.0</x:v>
      </x:c>
      <x:c r="AI58" s="70" t="str">
        <x:v>690000.0</x:v>
      </x:c>
      <x:c r="AJ58" s="70" t="str">
        <x:v>680000000.0</x:v>
      </x:c>
      <x:c r="AK58" s="68" t="str">
        <x:v>15140000000.0</x:v>
      </x:c>
      <x:c r="AL58" s="66" t="str">
        <x:v>0.1250652491518801</x:v>
      </x:c>
      <x:c r="AM58" s="70" t="str">
        <x:v>7.0</x:v>
      </x:c>
      <x:c r="AN58" s="70" t="str">
        <x:v>7.0</x:v>
      </x:c>
      <x:c r="AO58" s="66" t="str">
        <x:v>100.0</x:v>
      </x:c>
      <x:c r="AP58" s="14" t="str">
        <x:v>High</x:v>
      </x:c>
      <x:c r="AQ58" s="47" t="str">
        <x:v>Issuer facility-to-FEMA county match</x:v>
      </x:c>
      <x:c r="AR58" s="66" t="str">
        <x:v>0.1250652491518801</x:v>
      </x:c>
      <x:c r="AS58" s="66" t="str">
        <x:v>7.164771051868868</x:v>
      </x:c>
      <x:c r="AT58" s="66" t="str">
        <x:v>7.579869737287252</x:v>
      </x:c>
      <x:c r="AU58" s="66" t="str">
        <x:v>11.136677389433892</x:v>
      </x:c>
      <x:c r="AV58" s="66" t="str">
        <x:v>2.1999999999999997</x:v>
      </x:c>
      <x:c r="AW58" s="72" t="str">
        <x:v>1.0</x:v>
      </x:c>
      <x:c r="AX58" s="72" t="str">
        <x:v>0.3</x:v>
      </x:c>
      <x:c r="AY58" s="72" t="str">
        <x:v>0.75</x:v>
      </x:c>
      <x:c r="AZ58" s="72" t="str">
        <x:v>0.016</x:v>
      </x:c>
      <x:c r="BA58" s="72" t="str">
        <x:v>0.01</x:v>
      </x:c>
      <x:c r="BB58" s="72" t="str">
        <x:v>0.3375</x:v>
      </x:c>
      <x:c r="BC58" s="72" t="str">
        <x:v>0.3</x:v>
      </x:c>
      <x:c r="BD58" s="72" t="str">
        <x:v>0.2</x:v>
      </x:c>
      <x:c r="BE58" s="72" t="str">
        <x:v>0.4</x:v>
      </x:c>
      <x:c r="BF58" s="14" t="str">
        <x:v>0.7</x:v>
      </x:c>
      <x:c r="BG58" s="72" t="str">
        <x:v>1.0</x:v>
      </x:c>
      <x:c r="BH58" s="74" t="str">
        <x:v>0.7403100775193798</x:v>
      </x:c>
      <x:c r="BI58" s="47" t="str">
        <x:v>Common scenario elasticity + issuer SEC CapEx/CFO dependency scale</x:v>
      </x:c>
      <x:c r="BJ58" s="47" t="str">
        <x:v>Modeled estimate using observed inputs + disclosed assumptions</x:v>
      </x:c>
      <x:c r="BK58" s="14" t="str">
        <x:v>False</x:v>
      </x:c>
      <x:c r="BL58" s="14" t="str">
        <x:v>False</x:v>
      </x:c>
      <x:c r="BM58" s="14" t="str">
        <x:v>False</x:v>
      </x:c>
      <x:c r="BN58" s="47" t="str">
        <x:v>Conditional scenario sensitivity; not a forecast or probability</x:v>
      </x:c>
      <x:c r="BO58" s="66" t="str">
        <x:v>103.60629119494035</x:v>
      </x:c>
    </x:row>
    <x:row r="59">
      <x:c r="A59" s="14" t="str">
        <x:v>CVX</x:v>
      </x:c>
      <x:c r="B59" s="14" t="str">
        <x:v>Energy</x:v>
      </x:c>
      <x:c r="C59" s="14" t="str">
        <x:v>below2c_vs_cp</x:v>
      </x:c>
      <x:c r="D59" s="47" t="str">
        <x:v>Below 2°C vs Current Policies</x:v>
      </x:c>
      <x:c r="E59" s="14" t="str">
        <x:v>Below 2°C vs CP</x:v>
      </x:c>
      <x:c r="F59" s="14" t="str">
        <x:v>below_2c</x:v>
      </x:c>
      <x:c r="G59" s="14" t="str">
        <x:v>current_policies</x:v>
      </x:c>
      <x:c r="H59" s="14" t="str">
        <x:v>2050</x:v>
      </x:c>
      <x:c r="I59" s="14" t="str">
        <x:v>low</x:v>
      </x:c>
      <x:c r="J59" s="14" t="str">
        <x:v>True</x:v>
      </x:c>
      <x:c r="K59" s="14" t="str">
        <x:v>CFP-2026-003-R17-20260804T234500Z</x:v>
      </x:c>
      <x:c r="L5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59" s="66" t="str">
        <x:v>-1.2001405457723213</x:v>
      </x:c>
      <x:c r="N59" s="68" t="str">
        <x:v>374300188320.6518</x:v>
      </x:c>
      <x:c r="O59" s="68" t="str">
        <x:v>369808059997.7135</x:v>
      </x:c>
      <x:c r="P59" s="68" t="str">
        <x:v>28060765134.98977</x:v>
      </x:c>
      <x:c r="Q59" s="68" t="str">
        <x:v>27791004664.290638</x:v>
      </x:c>
      <x:c r="R59" s="68" t="str">
        <x:v>-269760470.699131</x:v>
      </x:c>
      <x:c r="S59" s="68" t="str">
        <x:v>18142230456.32</x:v>
      </x:c>
      <x:c r="T59" s="66" t="str">
        <x:v>1.0856388112833837</x:v>
      </x:c>
      <x:c r="U59" s="66" t="str">
        <x:v>-0.06295614369673451</x:v>
      </x:c>
      <x:c r="V59" s="66" t="str">
        <x:v>-0.07077860278735373</x:v>
      </x:c>
      <x:c r="W59" s="68" t="str">
        <x:v>307659613.57965314</x:v>
      </x:c>
      <x:c r="X59" s="68" t="str">
        <x:v>-17841166.54719206</x:v>
      </x:c>
      <x:c r="Y59" s="68" t="str">
        <x:v>-20057976.333328515</x:v>
      </x:c>
      <x:c r="Z59" s="66" t="str">
        <x:v>-1.284284677582066</x:v>
      </x:c>
      <x:c r="AA59" s="66" t="str">
        <x:v>0.0412732227845333</x:v>
      </x:c>
      <x:c r="AB59" s="66" t="str">
        <x:v>0.04287090902521253</x:v>
      </x:c>
      <x:c r="AC59" s="68" t="str">
        <x:v>295111893.0883415</x:v>
      </x:c>
      <x:c r="AD59" s="68" t="str">
        <x:v>5465035.057191508</x:v>
      </x:c>
      <x:c r="AE59" s="68" t="str">
        <x:v>7082685.434120195</x:v>
      </x:c>
      <x:c r="AF59" s="68" t="str">
        <x:v>-16958904.18820636</x:v>
      </x:c>
      <x:c r="AG59" s="68" t="str">
        <x:v>-882262.3589857072</x:v>
      </x:c>
      <x:c r="AH59" s="70" t="str">
        <x:v>54000000.0</x:v>
      </x:c>
      <x:c r="AI59" s="70" t="str">
        <x:v>4000000.0</x:v>
      </x:c>
      <x:c r="AJ59" s="70" t="str">
        <x:v>432000000.0</x:v>
      </x:c>
      <x:c r="AK59" s="68" t="str">
        <x:v>219729000000.0</x:v>
      </x:c>
      <x:c r="AL59" s="66" t="str">
        <x:v>0.31761728843062803</x:v>
      </x:c>
      <x:c r="AM59" s="70" t="str">
        <x:v>34.0</x:v>
      </x:c>
      <x:c r="AN59" s="70" t="str">
        <x:v>53.0</x:v>
      </x:c>
      <x:c r="AO59" s="66" t="str">
        <x:v>64.15094339622641</x:v>
      </x:c>
      <x:c r="AP59" s="14" t="str">
        <x:v>Medium</x:v>
      </x:c>
      <x:c r="AQ59" s="47" t="str">
        <x:v>Issuer facility-to-FEMA county match</x:v>
      </x:c>
      <x:c r="AR59" s="66" t="str">
        <x:v>0.31761728843062803</x:v>
      </x:c>
      <x:c r="AS59" s="66" t="str">
        <x:v>7.164771051868868</x:v>
      </x:c>
      <x:c r="AT59" s="66" t="str">
        <x:v>7.579869737287252</x:v>
      </x:c>
      <x:c r="AU59" s="66" t="str">
        <x:v>6.7034090248596065</x:v>
      </x:c>
      <x:c r="AV59" s="66" t="str">
        <x:v>1.7999999999999998</x:v>
      </x:c>
      <x:c r="AW59" s="72" t="str">
        <x:v>0.5</x:v>
      </x:c>
      <x:c r="AX59" s="72" t="str">
        <x:v>0.7</x:v>
      </x:c>
      <x:c r="AY59" s="72" t="str">
        <x:v>0.25</x:v>
      </x:c>
      <x:c r="AZ59" s="72" t="str">
        <x:v>0.0015</x:v>
      </x:c>
      <x:c r="BA59" s="72" t="str">
        <x:v>0.05</x:v>
      </x:c>
      <x:c r="BB59" s="72" t="str">
        <x:v>0.27</x:v>
      </x:c>
      <x:c r="BC59" s="72" t="str">
        <x:v>0.7</x:v>
      </x:c>
      <x:c r="BD59" s="72" t="str">
        <x:v>0.05</x:v>
      </x:c>
      <x:c r="BE59" s="72" t="str">
        <x:v>0.15</x:v>
      </x:c>
      <x:c r="BF59" s="14" t="str">
        <x:v>0.7</x:v>
      </x:c>
      <x:c r="BG59" s="72" t="str">
        <x:v>0.35</x:v>
      </x:c>
      <x:c r="BH59" s="74" t="str">
        <x:v>1.0111228969621968</x:v>
      </x:c>
      <x:c r="BI59" s="47" t="str">
        <x:v>Common scenario elasticity + issuer SEC CapEx/CFO dependency scale</x:v>
      </x:c>
      <x:c r="BJ59" s="47" t="str">
        <x:v>Modeled estimate using observed inputs + disclosed assumptions</x:v>
      </x:c>
      <x:c r="BK59" s="14" t="str">
        <x:v>False</x:v>
      </x:c>
      <x:c r="BL59" s="14" t="str">
        <x:v>False</x:v>
      </x:c>
      <x:c r="BM59" s="14" t="str">
        <x:v>False</x:v>
      </x:c>
      <x:c r="BN59" s="47" t="str">
        <x:v>Conditional scenario sensitivity; not a forecast or probability</x:v>
      </x:c>
      <x:c r="BO59" s="66" t="str">
        <x:v>101.21471887956311</x:v>
      </x:c>
    </x:row>
    <x:row r="60">
      <x:c r="A60" s="14" t="str">
        <x:v>CVX</x:v>
      </x:c>
      <x:c r="B60" s="14" t="str">
        <x:v>Energy</x:v>
      </x:c>
      <x:c r="C60" s="14" t="str">
        <x:v>below2c_vs_cp</x:v>
      </x:c>
      <x:c r="D60" s="47" t="str">
        <x:v>Below 2°C vs Current Policies</x:v>
      </x:c>
      <x:c r="E60" s="14" t="str">
        <x:v>Below 2°C vs CP</x:v>
      </x:c>
      <x:c r="F60" s="14" t="str">
        <x:v>below_2c</x:v>
      </x:c>
      <x:c r="G60" s="14" t="str">
        <x:v>current_policies</x:v>
      </x:c>
      <x:c r="H60" s="14" t="str">
        <x:v>2050</x:v>
      </x:c>
      <x:c r="I60" s="14" t="str">
        <x:v>base</x:v>
      </x:c>
      <x:c r="J60" s="14" t="str">
        <x:v>True</x:v>
      </x:c>
      <x:c r="K60" s="14" t="str">
        <x:v>CFP-2026-003-R17-20260804T234500Z</x:v>
      </x:c>
      <x:c r="L6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0" s="66" t="str">
        <x:v>-4.37406498350369</x:v>
      </x:c>
      <x:c r="N60" s="68" t="str">
        <x:v>371659556223.3364</x:v>
      </x:c>
      <x:c r="O60" s="68" t="str">
        <x:v>355402925716.72626</x:v>
      </x:c>
      <x:c r="P60" s="68" t="str">
        <x:v>27762645856.760303</x:v>
      </x:c>
      <x:c r="Q60" s="68" t="str">
        <x:v>26519310374.667393</x:v>
      </x:c>
      <x:c r="R60" s="68" t="str">
        <x:v>-1243335482.0929108</x:v>
      </x:c>
      <x:c r="S60" s="68" t="str">
        <x:v>18142230456.32</x:v>
      </x:c>
      <x:c r="T60" s="66" t="str">
        <x:v>4.685301763203868</x:v>
      </x:c>
      <x:c r="U60" s="66" t="str">
        <x:v>-0.17660775479128354</x:v>
      </x:c>
      <x:c r="V60" s="66" t="str">
        <x:v>-0.12133474763546359</x:v>
      </x:c>
      <x:c r="W60" s="68" t="str">
        <x:v>1327769526.0980327</x:v>
      </x:c>
      <x:c r="X60" s="68" t="str">
        <x:v>-50048941.71941444</x:v>
      </x:c>
      <x:c r="Y60" s="68" t="str">
        <x:v>-34385102.28570604</x:v>
      </x:c>
      <x:c r="Z60" s="66" t="str">
        <x:v>-4.564386519747297</x:v>
      </x:c>
      <x:c r="AA60" s="66" t="str">
        <x:v>0.11630638346082478</x:v>
      </x:c>
      <x:c r="AB60" s="66" t="str">
        <x:v>0.0740151527827825</x:v>
      </x:c>
      <x:c r="AC60" s="68" t="str">
        <x:v>1242023877.655449</x:v>
      </x:c>
      <x:c r="AD60" s="68" t="str">
        <x:v>46000884.35760923</x:v>
      </x:c>
      <x:c r="AE60" s="68" t="str">
        <x:v>39744764.08497436</x:v>
      </x:c>
      <x:c r="AF60" s="68" t="str">
        <x:v>-47108067.189462095</x:v>
      </x:c>
      <x:c r="AG60" s="68" t="str">
        <x:v>-2940874.5299523547</x:v>
      </x:c>
      <x:c r="AH60" s="70" t="str">
        <x:v>54000000.0</x:v>
      </x:c>
      <x:c r="AI60" s="70" t="str">
        <x:v>4000000.0</x:v>
      </x:c>
      <x:c r="AJ60" s="70" t="str">
        <x:v>432000000.0</x:v>
      </x:c>
      <x:c r="AK60" s="68" t="str">
        <x:v>219729000000.0</x:v>
      </x:c>
      <x:c r="AL60" s="66" t="str">
        <x:v>0.31761728843062803</x:v>
      </x:c>
      <x:c r="AM60" s="70" t="str">
        <x:v>34.0</x:v>
      </x:c>
      <x:c r="AN60" s="70" t="str">
        <x:v>53.0</x:v>
      </x:c>
      <x:c r="AO60" s="66" t="str">
        <x:v>64.15094339622641</x:v>
      </x:c>
      <x:c r="AP60" s="14" t="str">
        <x:v>Medium</x:v>
      </x:c>
      <x:c r="AQ60" s="47" t="str">
        <x:v>Issuer facility-to-FEMA county match</x:v>
      </x:c>
      <x:c r="AR60" s="66" t="str">
        <x:v>0.31761728843062803</x:v>
      </x:c>
      <x:c r="AS60" s="66" t="str">
        <x:v>7.164771051868868</x:v>
      </x:c>
      <x:c r="AT60" s="66" t="str">
        <x:v>7.579869737287252</x:v>
      </x:c>
      <x:c r="AU60" s="66" t="str">
        <x:v>6.7034090248596065</x:v>
      </x:c>
      <x:c r="AV60" s="66" t="str">
        <x:v>1.7999999999999998</x:v>
      </x:c>
      <x:c r="AW60" s="72" t="str">
        <x:v>0.75</x:v>
      </x:c>
      <x:c r="AX60" s="72" t="str">
        <x:v>0.5</x:v>
      </x:c>
      <x:c r="AY60" s="72" t="str">
        <x:v>0.5</x:v>
      </x:c>
      <x:c r="AZ60" s="72" t="str">
        <x:v>0.003</x:v>
      </x:c>
      <x:c r="BA60" s="72" t="str">
        <x:v>0.03</x:v>
      </x:c>
      <x:c r="BB60" s="72" t="str">
        <x:v>0.45</x:v>
      </x:c>
      <x:c r="BC60" s="72" t="str">
        <x:v>0.5</x:v>
      </x:c>
      <x:c r="BD60" s="72" t="str">
        <x:v>0.1</x:v>
      </x:c>
      <x:c r="BE60" s="72" t="str">
        <x:v>0.25</x:v>
      </x:c>
      <x:c r="BF60" s="14" t="str">
        <x:v>0.7</x:v>
      </x:c>
      <x:c r="BG60" s="72" t="str">
        <x:v>0.6</x:v>
      </x:c>
      <x:c r="BH60" s="74" t="str">
        <x:v>1.0111228969621968</x:v>
      </x:c>
      <x:c r="BI60" s="47" t="str">
        <x:v>Common scenario elasticity + issuer SEC CapEx/CFO dependency scale</x:v>
      </x:c>
      <x:c r="BJ60" s="47" t="str">
        <x:v>Modeled estimate using observed inputs + disclosed assumptions</x:v>
      </x:c>
      <x:c r="BK60" s="14" t="str">
        <x:v>False</x:v>
      </x:c>
      <x:c r="BL60" s="14" t="str">
        <x:v>False</x:v>
      </x:c>
      <x:c r="BM60" s="14" t="str">
        <x:v>False</x:v>
      </x:c>
      <x:c r="BN60" s="47" t="str">
        <x:v>Conditional scenario sensitivity; not a forecast or probability</x:v>
      </x:c>
      <x:c r="BO60" s="66" t="str">
        <x:v>104.57414087794189</x:v>
      </x:c>
    </x:row>
    <x:row r="61">
      <x:c r="A61" s="14" t="str">
        <x:v>CVX</x:v>
      </x:c>
      <x:c r="B61" s="14" t="str">
        <x:v>Energy</x:v>
      </x:c>
      <x:c r="C61" s="14" t="str">
        <x:v>below2c_vs_cp</x:v>
      </x:c>
      <x:c r="D61" s="47" t="str">
        <x:v>Below 2°C vs Current Policies</x:v>
      </x:c>
      <x:c r="E61" s="14" t="str">
        <x:v>Below 2°C vs CP</x:v>
      </x:c>
      <x:c r="F61" s="14" t="str">
        <x:v>below_2c</x:v>
      </x:c>
      <x:c r="G61" s="14" t="str">
        <x:v>current_policies</x:v>
      </x:c>
      <x:c r="H61" s="14" t="str">
        <x:v>2050</x:v>
      </x:c>
      <x:c r="I61" s="14" t="str">
        <x:v>high</x:v>
      </x:c>
      <x:c r="J61" s="14" t="str">
        <x:v>True</x:v>
      </x:c>
      <x:c r="K61" s="14" t="str">
        <x:v>CFP-2026-003-R17-20260804T234500Z</x:v>
      </x:c>
      <x:c r="L6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1" s="66" t="str">
        <x:v>-12.181975463907179</x:v>
      </x:c>
      <x:c r="N61" s="68" t="str">
        <x:v>366744980197.5056</x:v>
      </x:c>
      <x:c r="O61" s="68" t="str">
        <x:v>322068196694.73425</x:v>
      </x:c>
      <x:c r="P61" s="68" t="str">
        <x:v>27227312859.984547</x:v>
      </x:c>
      <x:c r="Q61" s="68" t="str">
        <x:v>23121419863.683178</x:v>
      </x:c>
      <x:c r="R61" s="68" t="str">
        <x:v>-4105892996.3013687</x:v>
      </x:c>
      <x:c r="S61" s="68" t="str">
        <x:v>18142230456.32</x:v>
      </x:c>
      <x:c r="T61" s="66" t="str">
        <x:v>15.038076775948545</x:v>
      </x:c>
      <x:c r="U61" s="66" t="str">
        <x:v>-0.34738313850297803</x:v>
      </x:c>
      <x:c r="V61" s="66" t="str">
        <x:v>-0.20222457939243926</x:v>
      </x:c>
      <x:c r="W61" s="68" t="str">
        <x:v>4261646545.5948086</x:v>
      </x:c>
      <x:c r="X61" s="68" t="str">
        <x:v>-98445045.48393089</x:v>
      </x:c>
      <x:c r="Y61" s="68" t="str">
        <x:v>-57308503.80951005</x:v>
      </x:c>
      <x:c r="Z61" s="66" t="str">
        <x:v>-12.536474394137153</x:v>
      </x:c>
      <x:c r="AA61" s="66" t="str">
        <x:v>0.22948727216432185</x:v>
      </x:c>
      <x:c r="AB61" s="66" t="str">
        <x:v>0.1250116580656584</x:v>
      </x:c>
      <x:c r="AC61" s="68" t="str">
        <x:v>3861741734.8321867</x:v>
      </x:c>
      <x:c r="AD61" s="68" t="str">
        <x:v>214541207.49067706</x:v>
      </x:c>
      <x:c r="AE61" s="68" t="str">
        <x:v>185363603.27194497</x:v>
      </x:c>
      <x:c r="AF61" s="68" t="str">
        <x:v>-89034246.98808336</x:v>
      </x:c>
      <x:c r="AG61" s="68" t="str">
        <x:v>-9410798.495847553</x:v>
      </x:c>
      <x:c r="AH61" s="70" t="str">
        <x:v>54000000.0</x:v>
      </x:c>
      <x:c r="AI61" s="70" t="str">
        <x:v>4000000.0</x:v>
      </x:c>
      <x:c r="AJ61" s="70" t="str">
        <x:v>432000000.0</x:v>
      </x:c>
      <x:c r="AK61" s="68" t="str">
        <x:v>219729000000.0</x:v>
      </x:c>
      <x:c r="AL61" s="66" t="str">
        <x:v>0.31761728843062803</x:v>
      </x:c>
      <x:c r="AM61" s="70" t="str">
        <x:v>34.0</x:v>
      </x:c>
      <x:c r="AN61" s="70" t="str">
        <x:v>53.0</x:v>
      </x:c>
      <x:c r="AO61" s="66" t="str">
        <x:v>64.15094339622641</x:v>
      </x:c>
      <x:c r="AP61" s="14" t="str">
        <x:v>Medium</x:v>
      </x:c>
      <x:c r="AQ61" s="47" t="str">
        <x:v>Issuer facility-to-FEMA county match</x:v>
      </x:c>
      <x:c r="AR61" s="66" t="str">
        <x:v>0.31761728843062803</x:v>
      </x:c>
      <x:c r="AS61" s="66" t="str">
        <x:v>7.164771051868868</x:v>
      </x:c>
      <x:c r="AT61" s="66" t="str">
        <x:v>7.579869737287252</x:v>
      </x:c>
      <x:c r="AU61" s="66" t="str">
        <x:v>6.7034090248596065</x:v>
      </x:c>
      <x:c r="AV61" s="66" t="str">
        <x:v>1.7999999999999998</x:v>
      </x:c>
      <x:c r="AW61" s="72" t="str">
        <x:v>1.0</x:v>
      </x:c>
      <x:c r="AX61" s="72" t="str">
        <x:v>0.3</x:v>
      </x:c>
      <x:c r="AY61" s="72" t="str">
        <x:v>0.75</x:v>
      </x:c>
      <x:c r="AZ61" s="72" t="str">
        <x:v>0.006</x:v>
      </x:c>
      <x:c r="BA61" s="72" t="str">
        <x:v>0.01</x:v>
      </x:c>
      <x:c r="BB61" s="72" t="str">
        <x:v>0.6075</x:v>
      </x:c>
      <x:c r="BC61" s="72" t="str">
        <x:v>0.3</x:v>
      </x:c>
      <x:c r="BD61" s="72" t="str">
        <x:v>0.2</x:v>
      </x:c>
      <x:c r="BE61" s="72" t="str">
        <x:v>0.4</x:v>
      </x:c>
      <x:c r="BF61" s="14" t="str">
        <x:v>0.7</x:v>
      </x:c>
      <x:c r="BG61" s="72" t="str">
        <x:v>1.0</x:v>
      </x:c>
      <x:c r="BH61" s="74" t="str">
        <x:v>1.0111228969621968</x:v>
      </x:c>
      <x:c r="BI61" s="47" t="str">
        <x:v>Common scenario elasticity + issuer SEC CapEx/CFO dependency scale</x:v>
      </x:c>
      <x:c r="BJ61" s="47" t="str">
        <x:v>Modeled estimate using observed inputs + disclosed assumptions</x:v>
      </x:c>
      <x:c r="BK61" s="14" t="str">
        <x:v>False</x:v>
      </x:c>
      <x:c r="BL61" s="14" t="str">
        <x:v>False</x:v>
      </x:c>
      <x:c r="BM61" s="14" t="str">
        <x:v>False</x:v>
      </x:c>
      <x:c r="BN61" s="47" t="str">
        <x:v>Conditional scenario sensitivity; not a forecast or probability</x:v>
      </x:c>
      <x:c r="BO61" s="66" t="str">
        <x:v>113.87183955487457</x:v>
      </x:c>
    </x:row>
    <x:row r="62">
      <x:c r="A62" s="14" t="str">
        <x:v>DE</x:v>
      </x:c>
      <x:c r="B62" s="14" t="str">
        <x:v>Industrials</x:v>
      </x:c>
      <x:c r="C62" s="14" t="str">
        <x:v>below2c_vs_cp</x:v>
      </x:c>
      <x:c r="D62" s="47" t="str">
        <x:v>Below 2°C vs Current Policies</x:v>
      </x:c>
      <x:c r="E62" s="14" t="str">
        <x:v>Below 2°C vs CP</x:v>
      </x:c>
      <x:c r="F62" s="14" t="str">
        <x:v>below_2c</x:v>
      </x:c>
      <x:c r="G62" s="14" t="str">
        <x:v>current_policies</x:v>
      </x:c>
      <x:c r="H62" s="14" t="str">
        <x:v>2050</x:v>
      </x:c>
      <x:c r="I62" s="14" t="str">
        <x:v>low</x:v>
      </x:c>
      <x:c r="J62" s="14" t="str">
        <x:v>True</x:v>
      </x:c>
      <x:c r="K62" s="14" t="str">
        <x:v>CFP-2026-003-R17-20260804T234500Z</x:v>
      </x:c>
      <x:c r="L6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2" s="66" t="str">
        <x:v>-0.01969737406013472</x:v>
      </x:c>
      <x:c r="N62" s="68" t="str">
        <x:v>155527017150.50055</x:v>
      </x:c>
      <x:c r="O62" s="68" t="str">
        <x:v>155496382412.16785</x:v>
      </x:c>
      <x:c r="P62" s="68" t="str">
        <x:v>14791068126.262678</x:v>
      </x:c>
      <x:c r="Q62" s="68" t="str">
        <x:v>14792935311.326485</x:v>
      </x:c>
      <x:c r="R62" s="68" t="str">
        <x:v>1867185.0638065338</x:v>
      </x:c>
      <x:c r="S62" s="68" t="str">
        <x:v>8631149592.456448</x:v>
      </x:c>
      <x:c r="T62" s="66" t="str">
        <x:v>0.039093720214915376</x:v>
      </x:c>
      <x:c r="U62" s="66" t="str">
        <x:v>-0.003886471232826912</x:v>
      </x:c>
      <x:c r="V62" s="66" t="str">
        <x:v>-0.04776310497385707</x:v>
      </x:c>
      <x:c r="W62" s="68" t="str">
        <x:v>5813638.7134196395</x:v>
      </x:c>
      <x:c r="X62" s="68" t="str">
        <x:v>-577958.2882760242</x:v>
      </x:c>
      <x:c r="Y62" s="68" t="str">
        <x:v>-7102865.488948777</x:v>
      </x:c>
      <x:c r="Z62" s="66" t="str">
        <x:v>-0.048608281250048124</x:v>
      </x:c>
      <x:c r="AA62" s="66" t="str">
        <x:v>0.001860586134553798</x:v>
      </x:c>
      <x:c r="AB62" s="66" t="str">
        <x:v>0.02705032105536046</x:v>
      </x:c>
      <x:c r="AC62" s="68" t="str">
        <x:v>1934075.9067400747</x:v>
      </x:c>
      <x:c r="AD62" s="68" t="str">
        <x:v>306041.96320272447</x:v>
      </x:c>
      <x:c r="AE62" s="68" t="str">
        <x:v>3573520.8434768408</x:v>
      </x:c>
      <x:c r="AF62" s="68" t="str">
        <x:v>-114987.42476431909</x:v>
      </x:c>
      <x:c r="AG62" s="68" t="str">
        <x:v>-462970.86351170484</x:v>
      </x:c>
      <x:c r="AH62" s="70" t="str">
        <x:v>353900.0</x:v>
      </x:c>
      <x:c r="AI62" s="70" t="str">
        <x:v>224000.0</x:v>
      </x:c>
      <x:c r="AJ62" s="70" t="str">
        <x:v>81736000.0</x:v>
      </x:c>
      <x:c r="AK62" s="68" t="str">
        <x:v>8079000000.0</x:v>
      </x:c>
      <x:c r="AL62" s="66" t="str">
        <x:v>0.1054287290454164</x:v>
      </x:c>
      <x:c r="AM62" s="70" t="str">
        <x:v>1.0</x:v>
      </x:c>
      <x:c r="AN62" s="70" t="str">
        <x:v>1.0</x:v>
      </x:c>
      <x:c r="AO62" s="66" t="str">
        <x:v>100.0</x:v>
      </x:c>
      <x:c r="AP62" s="14" t="str">
        <x:v>High</x:v>
      </x:c>
      <x:c r="AQ62" s="47" t="str">
        <x:v>Issuer facility-to-FEMA county match</x:v>
      </x:c>
      <x:c r="AR62" s="66" t="str">
        <x:v>0.1054287290454164</x:v>
      </x:c>
      <x:c r="AS62" s="66" t="str">
        <x:v>7.164771051868868</x:v>
      </x:c>
      <x:c r="AT62" s="66" t="str">
        <x:v>7.579869737287252</x:v>
      </x:c>
      <x:c r="AU62" s="66" t="str">
        <x:v>7.853230639934694</x:v>
      </x:c>
      <x:c r="AV62" s="66" t="str">
        <x:v>2.1999999999999997</x:v>
      </x:c>
      <x:c r="AW62" s="72" t="str">
        <x:v>0.5</x:v>
      </x:c>
      <x:c r="AX62" s="72" t="str">
        <x:v>0.7</x:v>
      </x:c>
      <x:c r="AY62" s="72" t="str">
        <x:v>0.25</x:v>
      </x:c>
      <x:c r="AZ62" s="72" t="str">
        <x:v>0.004</x:v>
      </x:c>
      <x:c r="BA62" s="72" t="str">
        <x:v>0.05</x:v>
      </x:c>
      <x:c r="BB62" s="72" t="str">
        <x:v>0.15</x:v>
      </x:c>
      <x:c r="BC62" s="72" t="str">
        <x:v>0.7</x:v>
      </x:c>
      <x:c r="BD62" s="72" t="str">
        <x:v>0.05</x:v>
      </x:c>
      <x:c r="BE62" s="72" t="str">
        <x:v>0.15</x:v>
      </x:c>
      <x:c r="BF62" s="14" t="str">
        <x:v>0.7</x:v>
      </x:c>
      <x:c r="BG62" s="72" t="str">
        <x:v>0.35</x:v>
      </x:c>
      <x:c r="BH62" s="74" t="str">
        <x:v>0.6823300710551012</x:v>
      </x:c>
      <x:c r="BI62" s="47" t="str">
        <x:v>Common scenario elasticity + issuer SEC CapEx/CFO dependency scale</x:v>
      </x:c>
      <x:c r="BJ62" s="47" t="str">
        <x:v>Modeled estimate using observed inputs + disclosed assumptions</x:v>
      </x:c>
      <x:c r="BK62" s="14" t="str">
        <x:v>False</x:v>
      </x:c>
      <x:c r="BL62" s="14" t="str">
        <x:v>False</x:v>
      </x:c>
      <x:c r="BM62" s="14" t="str">
        <x:v>False</x:v>
      </x:c>
      <x:c r="BN62" s="47" t="str">
        <x:v>Conditional scenario sensitivity; not a forecast or probability</x:v>
      </x:c>
      <x:c r="BO62" s="66" t="str">
        <x:v>100.01970125468998</x:v>
      </x:c>
    </x:row>
    <x:row r="63">
      <x:c r="A63" s="14" t="str">
        <x:v>DE</x:v>
      </x:c>
      <x:c r="B63" s="14" t="str">
        <x:v>Industrials</x:v>
      </x:c>
      <x:c r="C63" s="14" t="str">
        <x:v>below2c_vs_cp</x:v>
      </x:c>
      <x:c r="D63" s="47" t="str">
        <x:v>Below 2°C vs Current Policies</x:v>
      </x:c>
      <x:c r="E63" s="14" t="str">
        <x:v>Below 2°C vs CP</x:v>
      </x:c>
      <x:c r="F63" s="14" t="str">
        <x:v>below_2c</x:v>
      </x:c>
      <x:c r="G63" s="14" t="str">
        <x:v>current_policies</x:v>
      </x:c>
      <x:c r="H63" s="14" t="str">
        <x:v>2050</x:v>
      </x:c>
      <x:c r="I63" s="14" t="str">
        <x:v>base</x:v>
      </x:c>
      <x:c r="J63" s="14" t="str">
        <x:v>True</x:v>
      </x:c>
      <x:c r="K63" s="14" t="str">
        <x:v>CFP-2026-003-R17-20260804T234500Z</x:v>
      </x:c>
      <x:c r="L6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3" s="66" t="str">
        <x:v>-0.15383675445798106</x:v>
      </x:c>
      <x:c r="N63" s="68" t="str">
        <x:v>155022687887.38293</x:v>
      </x:c>
      <x:c r="O63" s="68" t="str">
        <x:v>154784206015.66345</x:v>
      </x:c>
      <x:c r="P63" s="68" t="str">
        <x:v>14719515886.594145</x:v>
      </x:c>
      <x:c r="Q63" s="68" t="str">
        <x:v>14702786016.29896</x:v>
      </x:c>
      <x:c r="R63" s="68" t="str">
        <x:v>-16729870.29518509</x:v>
      </x:c>
      <x:c r="S63" s="68" t="str">
        <x:v>8631149592.456448</x:v>
      </x:c>
      <x:c r="T63" s="66" t="str">
        <x:v>0.20690468407944096</x:v>
      </x:c>
      <x:c r="U63" s="66" t="str">
        <x:v>-0.012525331280429172</x:v>
      </x:c>
      <x:c r="V63" s="66" t="str">
        <x:v>-0.0818796085266121</x:v>
      </x:c>
      <x:c r="W63" s="68" t="str">
        <x:v>30768856.858323988</x:v>
      </x:c>
      <x:c r="X63" s="68" t="str">
        <x:v>-1862645.7249399088</x:v>
      </x:c>
      <x:c r="Y63" s="68" t="str">
        <x:v>-12176340.838197902</x:v>
      </x:c>
      <x:c r="Z63" s="66" t="str">
        <x:v>-0.20630374276344585</x:v>
      </x:c>
      <x:c r="AA63" s="66" t="str">
        <x:v>0.005944149203252142</x:v>
      </x:c>
      <x:c r="AB63" s="66" t="str">
        <x:v>0.046522839102208294</x:v>
      </x:c>
      <x:c r="AC63" s="68" t="str">
        <x:v>8139856.487078951</x:v>
      </x:c>
      <x:c r="AD63" s="68" t="str">
        <x:v>2576049.524026116</x:v>
      </x:c>
      <x:c r="AE63" s="68" t="str">
        <x:v>20052950.84721892</x:v>
      </x:c>
      <x:c r="AF63" s="68" t="str">
        <x:v>-319409.51323421975</x:v>
      </x:c>
      <x:c r="AG63" s="68" t="str">
        <x:v>-1543236.2117056884</x:v>
      </x:c>
      <x:c r="AH63" s="70" t="str">
        <x:v>353900.0</x:v>
      </x:c>
      <x:c r="AI63" s="70" t="str">
        <x:v>224000.0</x:v>
      </x:c>
      <x:c r="AJ63" s="70" t="str">
        <x:v>81736000.0</x:v>
      </x:c>
      <x:c r="AK63" s="68" t="str">
        <x:v>8079000000.0</x:v>
      </x:c>
      <x:c r="AL63" s="66" t="str">
        <x:v>0.1054287290454164</x:v>
      </x:c>
      <x:c r="AM63" s="70" t="str">
        <x:v>1.0</x:v>
      </x:c>
      <x:c r="AN63" s="70" t="str">
        <x:v>1.0</x:v>
      </x:c>
      <x:c r="AO63" s="66" t="str">
        <x:v>100.0</x:v>
      </x:c>
      <x:c r="AP63" s="14" t="str">
        <x:v>High</x:v>
      </x:c>
      <x:c r="AQ63" s="47" t="str">
        <x:v>Issuer facility-to-FEMA county match</x:v>
      </x:c>
      <x:c r="AR63" s="66" t="str">
        <x:v>0.1054287290454164</x:v>
      </x:c>
      <x:c r="AS63" s="66" t="str">
        <x:v>7.164771051868868</x:v>
      </x:c>
      <x:c r="AT63" s="66" t="str">
        <x:v>7.579869737287252</x:v>
      </x:c>
      <x:c r="AU63" s="66" t="str">
        <x:v>7.853230639934694</x:v>
      </x:c>
      <x:c r="AV63" s="66" t="str">
        <x:v>2.1999999999999997</x:v>
      </x:c>
      <x:c r="AW63" s="72" t="str">
        <x:v>0.75</x:v>
      </x:c>
      <x:c r="AX63" s="72" t="str">
        <x:v>0.5</x:v>
      </x:c>
      <x:c r="AY63" s="72" t="str">
        <x:v>0.5</x:v>
      </x:c>
      <x:c r="AZ63" s="72" t="str">
        <x:v>0.008</x:v>
      </x:c>
      <x:c r="BA63" s="72" t="str">
        <x:v>0.03</x:v>
      </x:c>
      <x:c r="BB63" s="72" t="str">
        <x:v>0.25</x:v>
      </x:c>
      <x:c r="BC63" s="72" t="str">
        <x:v>0.5</x:v>
      </x:c>
      <x:c r="BD63" s="72" t="str">
        <x:v>0.1</x:v>
      </x:c>
      <x:c r="BE63" s="72" t="str">
        <x:v>0.25</x:v>
      </x:c>
      <x:c r="BF63" s="14" t="str">
        <x:v>0.7</x:v>
      </x:c>
      <x:c r="BG63" s="72" t="str">
        <x:v>0.6</x:v>
      </x:c>
      <x:c r="BH63" s="74" t="str">
        <x:v>0.6823300710551012</x:v>
      </x:c>
      <x:c r="BI63" s="47" t="str">
        <x:v>Common scenario elasticity + issuer SEC CapEx/CFO dependency scale</x:v>
      </x:c>
      <x:c r="BJ63" s="47" t="str">
        <x:v>Modeled estimate using observed inputs + disclosed assumptions</x:v>
      </x:c>
      <x:c r="BK63" s="14" t="str">
        <x:v>False</x:v>
      </x:c>
      <x:c r="BL63" s="14" t="str">
        <x:v>False</x:v>
      </x:c>
      <x:c r="BM63" s="14" t="str">
        <x:v>False</x:v>
      </x:c>
      <x:c r="BN63" s="47" t="str">
        <x:v>Conditional scenario sensitivity; not a forecast or probability</x:v>
      </x:c>
      <x:c r="BO63" s="66" t="str">
        <x:v>100.15407377655532</x:v>
      </x:c>
    </x:row>
    <x:row r="64">
      <x:c r="A64" s="14" t="str">
        <x:v>DE</x:v>
      </x:c>
      <x:c r="B64" s="14" t="str">
        <x:v>Industrials</x:v>
      </x:c>
      <x:c r="C64" s="14" t="str">
        <x:v>below2c_vs_cp</x:v>
      </x:c>
      <x:c r="D64" s="47" t="str">
        <x:v>Below 2°C vs Current Policies</x:v>
      </x:c>
      <x:c r="E64" s="14" t="str">
        <x:v>Below 2°C vs CP</x:v>
      </x:c>
      <x:c r="F64" s="14" t="str">
        <x:v>below_2c</x:v>
      </x:c>
      <x:c r="G64" s="14" t="str">
        <x:v>current_policies</x:v>
      </x:c>
      <x:c r="H64" s="14" t="str">
        <x:v>2050</x:v>
      </x:c>
      <x:c r="I64" s="14" t="str">
        <x:v>high</x:v>
      </x:c>
      <x:c r="J64" s="14" t="str">
        <x:v>True</x:v>
      </x:c>
      <x:c r="K64" s="14" t="str">
        <x:v>CFP-2026-003-R17-20260804T234500Z</x:v>
      </x:c>
      <x:c r="L6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4" s="66" t="str">
        <x:v>-0.6342943541699286</x:v>
      </x:c>
      <x:c r="N64" s="68" t="str">
        <x:v>153908129949.6505</x:v>
      </x:c>
      <x:c r="O64" s="68" t="str">
        <x:v>152931899370.77136</x:v>
      </x:c>
      <x:c r="P64" s="68" t="str">
        <x:v>14573752226.475845</x:v>
      </x:c>
      <x:c r="Q64" s="68" t="str">
        <x:v>14468741201.611408</x:v>
      </x:c>
      <x:c r="R64" s="68" t="str">
        <x:v>-105011024.8644371</x:v>
      </x:c>
      <x:c r="S64" s="68" t="str">
        <x:v>8631149592.456448</x:v>
      </x:c>
      <x:c r="T64" s="66" t="str">
        <x:v>0.8798783234698253</x:v>
      </x:c>
      <x:c r="U64" s="66" t="str">
        <x:v>-0.03726735806746318</x:v>
      </x:c>
      <x:c r="V64" s="66" t="str">
        <x:v>-0.13646601421102034</x:v>
      </x:c>
      <x:c r="W64" s="68" t="str">
        <x:v>130846966.11890401</x:v>
      </x:c>
      <x:c r="X64" s="68" t="str">
        <x:v>-5542039.85747087</x:v>
      </x:c>
      <x:c r="Y64" s="68" t="str">
        <x:v>-20293901.396996528</x:v>
      </x:c>
      <x:c r="Z64" s="66" t="str">
        <x:v>-0.7297189893954884</x:v>
      </x:c>
      <x:c r="AA64" s="66" t="str">
        <x:v>0.017325061926668422</x:v>
      </x:c>
      <x:c r="AB64" s="66" t="str">
        <x:v>0.07809957329889128</x:v>
      </x:c>
      <x:c r="AC64" s="68" t="str">
        <x:v>25308711.110316873</x:v>
      </x:c>
      <x:c r="AD64" s="68" t="str">
        <x:v>12014307.619477917</x:v>
      </x:c>
      <x:c r="AE64" s="68" t="str">
        <x:v>93523947.38910921</x:v>
      </x:c>
      <x:c r="AF64" s="68" t="str">
        <x:v>-603683.9800126753</x:v>
      </x:c>
      <x:c r="AG64" s="68" t="str">
        <x:v>-4938355.8774582</x:v>
      </x:c>
      <x:c r="AH64" s="70" t="str">
        <x:v>353900.0</x:v>
      </x:c>
      <x:c r="AI64" s="70" t="str">
        <x:v>224000.0</x:v>
      </x:c>
      <x:c r="AJ64" s="70" t="str">
        <x:v>81736000.0</x:v>
      </x:c>
      <x:c r="AK64" s="68" t="str">
        <x:v>8079000000.0</x:v>
      </x:c>
      <x:c r="AL64" s="66" t="str">
        <x:v>0.1054287290454164</x:v>
      </x:c>
      <x:c r="AM64" s="70" t="str">
        <x:v>1.0</x:v>
      </x:c>
      <x:c r="AN64" s="70" t="str">
        <x:v>1.0</x:v>
      </x:c>
      <x:c r="AO64" s="66" t="str">
        <x:v>100.0</x:v>
      </x:c>
      <x:c r="AP64" s="14" t="str">
        <x:v>High</x:v>
      </x:c>
      <x:c r="AQ64" s="47" t="str">
        <x:v>Issuer facility-to-FEMA county match</x:v>
      </x:c>
      <x:c r="AR64" s="66" t="str">
        <x:v>0.1054287290454164</x:v>
      </x:c>
      <x:c r="AS64" s="66" t="str">
        <x:v>7.164771051868868</x:v>
      </x:c>
      <x:c r="AT64" s="66" t="str">
        <x:v>7.579869737287252</x:v>
      </x:c>
      <x:c r="AU64" s="66" t="str">
        <x:v>7.853230639934694</x:v>
      </x:c>
      <x:c r="AV64" s="66" t="str">
        <x:v>2.1999999999999997</x:v>
      </x:c>
      <x:c r="AW64" s="72" t="str">
        <x:v>1.0</x:v>
      </x:c>
      <x:c r="AX64" s="72" t="str">
        <x:v>0.3</x:v>
      </x:c>
      <x:c r="AY64" s="72" t="str">
        <x:v>0.75</x:v>
      </x:c>
      <x:c r="AZ64" s="72" t="str">
        <x:v>0.016</x:v>
      </x:c>
      <x:c r="BA64" s="72" t="str">
        <x:v>0.01</x:v>
      </x:c>
      <x:c r="BB64" s="72" t="str">
        <x:v>0.3375</x:v>
      </x:c>
      <x:c r="BC64" s="72" t="str">
        <x:v>0.3</x:v>
      </x:c>
      <x:c r="BD64" s="72" t="str">
        <x:v>0.2</x:v>
      </x:c>
      <x:c r="BE64" s="72" t="str">
        <x:v>0.4</x:v>
      </x:c>
      <x:c r="BF64" s="14" t="str">
        <x:v>0.7</x:v>
      </x:c>
      <x:c r="BG64" s="72" t="str">
        <x:v>1.0</x:v>
      </x:c>
      <x:c r="BH64" s="74" t="str">
        <x:v>0.6823300710551012</x:v>
      </x:c>
      <x:c r="BI64" s="47" t="str">
        <x:v>Common scenario elasticity + issuer SEC CapEx/CFO dependency scale</x:v>
      </x:c>
      <x:c r="BJ64" s="47" t="str">
        <x:v>Modeled estimate using observed inputs + disclosed assumptions</x:v>
      </x:c>
      <x:c r="BK64" s="14" t="str">
        <x:v>False</x:v>
      </x:c>
      <x:c r="BL64" s="14" t="str">
        <x:v>False</x:v>
      </x:c>
      <x:c r="BM64" s="14" t="str">
        <x:v>False</x:v>
      </x:c>
      <x:c r="BN64" s="47" t="str">
        <x:v>Conditional scenario sensitivity; not a forecast or probability</x:v>
      </x:c>
      <x:c r="BO64" s="66" t="str">
        <x:v>100.63834332987152</x:v>
      </x:c>
    </x:row>
    <x:row r="65">
      <x:c r="A65" s="14" t="str">
        <x:v>DUK</x:v>
      </x:c>
      <x:c r="B65" s="14" t="str">
        <x:v>Utilities</x:v>
      </x:c>
      <x:c r="C65" s="14" t="str">
        <x:v>below2c_vs_cp</x:v>
      </x:c>
      <x:c r="D65" s="47" t="str">
        <x:v>Below 2°C vs Current Policies</x:v>
      </x:c>
      <x:c r="E65" s="14" t="str">
        <x:v>Below 2°C vs CP</x:v>
      </x:c>
      <x:c r="F65" s="14" t="str">
        <x:v>below_2c</x:v>
      </x:c>
      <x:c r="G65" s="14" t="str">
        <x:v>current_policies</x:v>
      </x:c>
      <x:c r="H65" s="14" t="str">
        <x:v>2050</x:v>
      </x:c>
      <x:c r="I65" s="14" t="str">
        <x:v>low</x:v>
      </x:c>
      <x:c r="J65" s="14" t="str">
        <x:v>True</x:v>
      </x:c>
      <x:c r="K65" s="14" t="str">
        <x:v>CFP-2026-003-R17-20260804T234500Z</x:v>
      </x:c>
      <x:c r="L6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5" s="66" t="str">
        <x:v>-20.143992672245346</x:v>
      </x:c>
      <x:c r="N65" s="68" t="str">
        <x:v>49173498853.75154</x:v>
      </x:c>
      <x:c r="O65" s="68" t="str">
        <x:v>39267992847.96518</x:v>
      </x:c>
      <x:c r="P65" s="68" t="str">
        <x:v>2448564471.432889</x:v>
      </x:c>
      <x:c r="Q65" s="68" t="str">
        <x:v>2022564746.7036972</x:v>
      </x:c>
      <x:c r="R65" s="68" t="str">
        <x:v>-425999724.7291918</x:v>
      </x:c>
      <x:c r="S65" s="68" t="str">
        <x:v>1531556722.6890755</x:v>
      </x:c>
      <x:c r="T65" s="66" t="str">
        <x:v>17.390616899792015</x:v>
      </x:c>
      <x:c r="U65" s="66" t="str">
        <x:v>-0.3220090889393318</x:v>
      </x:c>
      <x:c r="V65" s="66" t="str">
        <x:v>-0.11461719383617192</x:v>
      </x:c>
      <x:c r="W65" s="68" t="str">
        <x:v>436970750.9892397</x:v>
      </x:c>
      <x:c r="X65" s="68" t="str">
        <x:v>-8091061.647207208</x:v>
      </x:c>
      <x:c r="Y65" s="68" t="str">
        <x:v>-2879964.6128407493</x:v>
      </x:c>
      <x:c r="Z65" s="66" t="str">
        <x:v>-20.477621028670935</x:v>
      </x:c>
      <x:c r="AA65" s="66" t="str">
        <x:v>0.25026360760321503</x:v>
      </x:c>
      <x:c r="AB65" s="66" t="str">
        <x:v>0.08336474882237047</x:v>
      </x:c>
      <x:c r="AC65" s="68" t="str">
        <x:v>435869336.02136594</x:v>
      </x:c>
      <x:c r="AD65" s="68" t="str">
        <x:v>347029.72613166075</x:v>
      </x:c>
      <x:c r="AE65" s="68" t="str">
        <x:v>754385.24174213</x:v>
      </x:c>
      <x:c r="AF65" s="68" t="str">
        <x:v>-8012835.849347174</x:v>
      </x:c>
      <x:c r="AG65" s="68" t="str">
        <x:v>-78225.79786003171</x:v>
      </x:c>
      <x:c r="AH65" s="70" t="str">
        <x:v>79756000.0</x:v>
      </x:c>
      <x:c r="AI65" s="70" t="str">
        <x:v>254000.0</x:v>
      </x:c>
      <x:c r="AJ65" s="70" t="str">
        <x:v>27607700.0</x:v>
      </x:c>
      <x:c r="AK65" s="68" t="str">
        <x:v>129959000000.0</x:v>
      </x:c>
      <x:c r="AL65" s="66" t="str">
        <x:v>0.17565995555046018</x:v>
      </x:c>
      <x:c r="AM65" s="70" t="str">
        <x:v>48.0</x:v>
      </x:c>
      <x:c r="AN65" s="70" t="str">
        <x:v>49.0</x:v>
      </x:c>
      <x:c r="AO65" s="66" t="str">
        <x:v>97.95918367346938</x:v>
      </x:c>
      <x:c r="AP65" s="14" t="str">
        <x:v>High</x:v>
      </x:c>
      <x:c r="AQ65" s="47" t="str">
        <x:v>Issuer facility-to-FEMA county match</x:v>
      </x:c>
      <x:c r="AR65" s="66" t="str">
        <x:v>0.17565995555046018</x:v>
      </x:c>
      <x:c r="AS65" s="66" t="str">
        <x:v>7.164771051868868</x:v>
      </x:c>
      <x:c r="AT65" s="66" t="str">
        <x:v>7.579869737287252</x:v>
      </x:c>
      <x:c r="AU65" s="66" t="str">
        <x:v>5.116136979477691</x:v>
      </x:c>
      <x:c r="AV65" s="66" t="str">
        <x:v>2.0</x:v>
      </x:c>
      <x:c r="AW65" s="72" t="str">
        <x:v>0.5</x:v>
      </x:c>
      <x:c r="AX65" s="72" t="str">
        <x:v>0.7</x:v>
      </x:c>
      <x:c r="AY65" s="72" t="str">
        <x:v>0.25</x:v>
      </x:c>
      <x:c r="AZ65" s="72" t="str">
        <x:v>0.0025</x:v>
      </x:c>
      <x:c r="BA65" s="72" t="str">
        <x:v>0.05</x:v>
      </x:c>
      <x:c r="BB65" s="72" t="str">
        <x:v>0.39</x:v>
      </x:c>
      <x:c r="BC65" s="72" t="str">
        <x:v>0.7</x:v>
      </x:c>
      <x:c r="BD65" s="72" t="str">
        <x:v>0.05</x:v>
      </x:c>
      <x:c r="BE65" s="72" t="str">
        <x:v>0.15</x:v>
      </x:c>
      <x:c r="BF65" s="14" t="str">
        <x:v>0.7</x:v>
      </x:c>
      <x:c r="BG65" s="72" t="str">
        <x:v>0.35</x:v>
      </x:c>
      <x:c r="BH65" s="74" t="str">
        <x:v>1.6373884833738848</x:v>
      </x:c>
      <x:c r="BI65" s="47" t="str">
        <x:v>Common scenario elasticity + issuer SEC CapEx/CFO dependency scale</x:v>
      </x:c>
      <x:c r="BJ65" s="47" t="str">
        <x:v>Modeled estimate using observed inputs + disclosed assumptions</x:v>
      </x:c>
      <x:c r="BK65" s="14" t="str">
        <x:v>False</x:v>
      </x:c>
      <x:c r="BL65" s="14" t="str">
        <x:v>False</x:v>
      </x:c>
      <x:c r="BM65" s="14" t="str">
        <x:v>False</x:v>
      </x:c>
      <x:c r="BN65" s="47" t="str">
        <x:v>Conditional scenario sensitivity; not a forecast or probability</x:v>
      </x:c>
      <x:c r="BO65" s="66" t="str">
        <x:v>125.2253942393688</x:v>
      </x:c>
    </x:row>
    <x:row r="66">
      <x:c r="A66" s="14" t="str">
        <x:v>DUK</x:v>
      </x:c>
      <x:c r="B66" s="14" t="str">
        <x:v>Utilities</x:v>
      </x:c>
      <x:c r="C66" s="14" t="str">
        <x:v>below2c_vs_cp</x:v>
      </x:c>
      <x:c r="D66" s="47" t="str">
        <x:v>Below 2°C vs Current Policies</x:v>
      </x:c>
      <x:c r="E66" s="14" t="str">
        <x:v>Below 2°C vs CP</x:v>
      </x:c>
      <x:c r="F66" s="14" t="str">
        <x:v>below_2c</x:v>
      </x:c>
      <x:c r="G66" s="14" t="str">
        <x:v>current_policies</x:v>
      </x:c>
      <x:c r="H66" s="14" t="str">
        <x:v>2050</x:v>
      </x:c>
      <x:c r="I66" s="14" t="str">
        <x:v>base</x:v>
      </x:c>
      <x:c r="J66" s="14" t="str">
        <x:v>True</x:v>
      </x:c>
      <x:c r="K66" s="14" t="str">
        <x:v>CFP-2026-003-R17-20260804T234500Z</x:v>
      </x:c>
      <x:c r="L6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6" s="66" t="str">
        <x:v>-75.52051808556016</x:v>
      </x:c>
      <x:c r="N66" s="68" t="str">
        <x:v>47758158995.495155</x:v>
      </x:c>
      <x:c r="O66" s="68" t="str">
        <x:v>11690949893.97166</x:v>
      </x:c>
      <x:c r="P66" s="68" t="str">
        <x:v>2354100065.7372284</x:v>
      </x:c>
      <x:c r="Q66" s="68" t="str">
        <x:v>539978193.329787</x:v>
      </x:c>
      <x:c r="R66" s="68" t="str">
        <x:v>-1814121872.4074414</x:v>
      </x:c>
      <x:c r="S66" s="68" t="str">
        <x:v>1531556722.6890755</x:v>
      </x:c>
      <x:c r="T66" s="66" t="str">
        <x:v>73.29133630308905</x:v>
      </x:c>
      <x:c r="U66" s="66" t="str">
        <x:v>-0.896199269354053</x:v>
      </x:c>
      <x:c r="V66" s="66" t="str">
        <x:v>-0.19648661800486591</x:v>
      </x:c>
      <x:c r="W66" s="68" t="str">
        <x:v>1841577584.619714</x:v>
      </x:c>
      <x:c r="X66" s="68" t="str">
        <x:v>-22518630.018831134</x:v>
      </x:c>
      <x:c r="Y66" s="68" t="str">
        <x:v>-4937082.193441279</x:v>
      </x:c>
      <x:c r="Z66" s="66" t="str">
        <x:v>-76.38457065049846</x:v>
      </x:c>
      <x:c r="AA66" s="66" t="str">
        <x:v>0.7169063192867365</x:v>
      </x:c>
      <x:c r="AB66" s="66" t="str">
        <x:v>0.14714624565157358</x:v>
      </x:c>
      <x:c r="AC66" s="68" t="str">
        <x:v>1834423266.4127405</x:v>
      </x:c>
      <x:c r="AD66" s="68" t="str">
        <x:v>2921056.1567081856</x:v>
      </x:c>
      <x:c r="AE66" s="68" t="str">
        <x:v>4233262.0502652265</x:v>
      </x:c>
      <x:c r="AF66" s="68" t="str">
        <x:v>-22257877.3592977</x:v>
      </x:c>
      <x:c r="AG66" s="68" t="str">
        <x:v>-260752.6595334392</x:v>
      </x:c>
      <x:c r="AH66" s="70" t="str">
        <x:v>79756000.0</x:v>
      </x:c>
      <x:c r="AI66" s="70" t="str">
        <x:v>254000.0</x:v>
      </x:c>
      <x:c r="AJ66" s="70" t="str">
        <x:v>27607700.0</x:v>
      </x:c>
      <x:c r="AK66" s="68" t="str">
        <x:v>129959000000.0</x:v>
      </x:c>
      <x:c r="AL66" s="66" t="str">
        <x:v>0.17565995555046018</x:v>
      </x:c>
      <x:c r="AM66" s="70" t="str">
        <x:v>48.0</x:v>
      </x:c>
      <x:c r="AN66" s="70" t="str">
        <x:v>49.0</x:v>
      </x:c>
      <x:c r="AO66" s="66" t="str">
        <x:v>97.95918367346938</x:v>
      </x:c>
      <x:c r="AP66" s="14" t="str">
        <x:v>High</x:v>
      </x:c>
      <x:c r="AQ66" s="47" t="str">
        <x:v>Issuer facility-to-FEMA county match</x:v>
      </x:c>
      <x:c r="AR66" s="66" t="str">
        <x:v>0.17565995555046018</x:v>
      </x:c>
      <x:c r="AS66" s="66" t="str">
        <x:v>7.164771051868868</x:v>
      </x:c>
      <x:c r="AT66" s="66" t="str">
        <x:v>7.579869737287252</x:v>
      </x:c>
      <x:c r="AU66" s="66" t="str">
        <x:v>5.116136979477691</x:v>
      </x:c>
      <x:c r="AV66" s="66" t="str">
        <x:v>2.0</x:v>
      </x:c>
      <x:c r="AW66" s="72" t="str">
        <x:v>0.75</x:v>
      </x:c>
      <x:c r="AX66" s="72" t="str">
        <x:v>0.5</x:v>
      </x:c>
      <x:c r="AY66" s="72" t="str">
        <x:v>0.5</x:v>
      </x:c>
      <x:c r="AZ66" s="72" t="str">
        <x:v>0.005</x:v>
      </x:c>
      <x:c r="BA66" s="72" t="str">
        <x:v>0.03</x:v>
      </x:c>
      <x:c r="BB66" s="72" t="str">
        <x:v>0.65</x:v>
      </x:c>
      <x:c r="BC66" s="72" t="str">
        <x:v>0.5</x:v>
      </x:c>
      <x:c r="BD66" s="72" t="str">
        <x:v>0.1</x:v>
      </x:c>
      <x:c r="BE66" s="72" t="str">
        <x:v>0.25</x:v>
      </x:c>
      <x:c r="BF66" s="14" t="str">
        <x:v>0.7</x:v>
      </x:c>
      <x:c r="BG66" s="72" t="str">
        <x:v>0.6</x:v>
      </x:c>
      <x:c r="BH66" s="74" t="str">
        <x:v>1.6373884833738848</x:v>
      </x:c>
      <x:c r="BI66" s="47" t="str">
        <x:v>Common scenario elasticity + issuer SEC CapEx/CFO dependency scale</x:v>
      </x:c>
      <x:c r="BJ66" s="47" t="str">
        <x:v>Modeled estimate using observed inputs + disclosed assumptions</x:v>
      </x:c>
      <x:c r="BK66" s="14" t="str">
        <x:v>False</x:v>
      </x:c>
      <x:c r="BL66" s="14" t="str">
        <x:v>False</x:v>
      </x:c>
      <x:c r="BM66" s="14" t="str">
        <x:v>False</x:v>
      </x:c>
      <x:c r="BN66" s="47" t="str">
        <x:v>Conditional scenario sensitivity; not a forecast or probability</x:v>
      </x:c>
      <x:c r="BO66" s="66" t="str">
        <x:v>408.5053774810997</x:v>
      </x:c>
    </x:row>
    <x:row r="67">
      <x:c r="A67" s="14" t="str">
        <x:v>DUK</x:v>
      </x:c>
      <x:c r="B67" s="14" t="str">
        <x:v>Utilities</x:v>
      </x:c>
      <x:c r="C67" s="14" t="str">
        <x:v>below2c_vs_cp</x:v>
      </x:c>
      <x:c r="D67" s="47" t="str">
        <x:v>Below 2°C vs Current Policies</x:v>
      </x:c>
      <x:c r="E67" s="14" t="str">
        <x:v>Below 2°C vs CP</x:v>
      </x:c>
      <x:c r="F67" s="14" t="str">
        <x:v>below_2c</x:v>
      </x:c>
      <x:c r="G67" s="14" t="str">
        <x:v>current_policies</x:v>
      </x:c>
      <x:c r="H67" s="14" t="str">
        <x:v>2050</x:v>
      </x:c>
      <x:c r="I67" s="14" t="str">
        <x:v>high</x:v>
      </x:c>
      <x:c r="J67" s="14" t="str">
        <x:v>True</x:v>
      </x:c>
      <x:c r="K67" s="14" t="str">
        <x:v>CFP-2026-003-R17-20260804T234500Z</x:v>
      </x:c>
      <x:c r="L6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7" s="66" t="str">
        <x:v>-97.16341494579511</x:v>
      </x:c>
      <x:c r="N67" s="68" t="str">
        <x:v>45209794613.91126</x:v>
      </x:c>
      <x:c r="O67" s="68" t="str">
        <x:v>1282414277.0549326</x:v>
      </x:c>
      <x:c r="P67" s="68" t="str">
        <x:v>2180679862.3662853</x:v>
      </x:c>
      <x:c r="Q67" s="68" t="str">
        <x:v>0.0</x:v>
      </x:c>
      <x:c r="R67" s="68" t="str">
        <x:v>-2180679862.3662853</x:v>
      </x:c>
      <x:c r="S67" s="68" t="str">
        <x:v>1531556722.6890755</x:v>
      </x:c>
      <x:c r="T67" s="66" t="str">
        <x:v>228.32249136692607</x:v>
      </x:c>
      <x:c r="U67" s="66" t="str">
        <x:v>-1.7074111010266124</x:v>
      </x:c>
      <x:c r="V67" s="66" t="str">
        <x:v>-0.32747769667477666</x:v>
      </x:c>
      <x:c r="W67" s="68" t="str">
        <x:v>5737016179.197939</x:v>
      </x:c>
      <x:c r="X67" s="68" t="str">
        <x:v>-42901796.71957965</x:v>
      </x:c>
      <x:c r="Y67" s="68" t="str">
        <x:v>-8228470.322402135</x:v>
      </x:c>
      <x:c r="Z67" s="66" t="str">
        <x:v>-98.01907601262263</x:v>
      </x:c>
      <x:c r="AA67" s="66" t="str">
        <x:v>0.7254941700673347</x:v>
      </x:c>
      <x:c r="AB67" s="66" t="str">
        <x:v>0.13016689676017676</x:v>
      </x:c>
      <x:c r="AC67" s="68" t="str">
        <x:v>5703649514.87548</x:v>
      </x:c>
      <x:c r="AD67" s="68" t="str">
        <x:v>13623366.675657991</x:v>
      </x:c>
      <x:c r="AE67" s="68" t="str">
        <x:v>19743297.64680122</x:v>
      </x:c>
      <x:c r="AF67" s="68" t="str">
        <x:v>-42067388.20907265</x:v>
      </x:c>
      <x:c r="AG67" s="68" t="str">
        <x:v>-834408.5105070043</x:v>
      </x:c>
      <x:c r="AH67" s="70" t="str">
        <x:v>79756000.0</x:v>
      </x:c>
      <x:c r="AI67" s="70" t="str">
        <x:v>254000.0</x:v>
      </x:c>
      <x:c r="AJ67" s="70" t="str">
        <x:v>27607700.0</x:v>
      </x:c>
      <x:c r="AK67" s="68" t="str">
        <x:v>129959000000.0</x:v>
      </x:c>
      <x:c r="AL67" s="66" t="str">
        <x:v>0.17565995555046018</x:v>
      </x:c>
      <x:c r="AM67" s="70" t="str">
        <x:v>48.0</x:v>
      </x:c>
      <x:c r="AN67" s="70" t="str">
        <x:v>49.0</x:v>
      </x:c>
      <x:c r="AO67" s="66" t="str">
        <x:v>97.95918367346938</x:v>
      </x:c>
      <x:c r="AP67" s="14" t="str">
        <x:v>High</x:v>
      </x:c>
      <x:c r="AQ67" s="47" t="str">
        <x:v>Issuer facility-to-FEMA county match</x:v>
      </x:c>
      <x:c r="AR67" s="66" t="str">
        <x:v>0.17565995555046018</x:v>
      </x:c>
      <x:c r="AS67" s="66" t="str">
        <x:v>7.164771051868868</x:v>
      </x:c>
      <x:c r="AT67" s="66" t="str">
        <x:v>7.579869737287252</x:v>
      </x:c>
      <x:c r="AU67" s="66" t="str">
        <x:v>5.116136979477691</x:v>
      </x:c>
      <x:c r="AV67" s="66" t="str">
        <x:v>2.0</x:v>
      </x:c>
      <x:c r="AW67" s="72" t="str">
        <x:v>1.0</x:v>
      </x:c>
      <x:c r="AX67" s="72" t="str">
        <x:v>0.3</x:v>
      </x:c>
      <x:c r="AY67" s="72" t="str">
        <x:v>0.75</x:v>
      </x:c>
      <x:c r="AZ67" s="72" t="str">
        <x:v>0.01</x:v>
      </x:c>
      <x:c r="BA67" s="72" t="str">
        <x:v>0.01</x:v>
      </x:c>
      <x:c r="BB67" s="72" t="str">
        <x:v>0.8775000000000001</x:v>
      </x:c>
      <x:c r="BC67" s="72" t="str">
        <x:v>0.3</x:v>
      </x:c>
      <x:c r="BD67" s="72" t="str">
        <x:v>0.2</x:v>
      </x:c>
      <x:c r="BE67" s="72" t="str">
        <x:v>0.4</x:v>
      </x:c>
      <x:c r="BF67" s="14" t="str">
        <x:v>0.7</x:v>
      </x:c>
      <x:c r="BG67" s="72" t="str">
        <x:v>1.0</x:v>
      </x:c>
      <x:c r="BH67" s="74" t="str">
        <x:v>1.6373884833738848</x:v>
      </x:c>
      <x:c r="BI67" s="47" t="str">
        <x:v>Common scenario elasticity + issuer SEC CapEx/CFO dependency scale</x:v>
      </x:c>
      <x:c r="BJ67" s="47" t="str">
        <x:v>Modeled estimate using observed inputs + disclosed assumptions</x:v>
      </x:c>
      <x:c r="BK67" s="14" t="str">
        <x:v>False</x:v>
      </x:c>
      <x:c r="BL67" s="14" t="str">
        <x:v>False</x:v>
      </x:c>
      <x:c r="BM67" s="14" t="str">
        <x:v>False</x:v>
      </x:c>
      <x:c r="BN67" s="47" t="str">
        <x:v>Conditional scenario sensitivity; not a forecast or probability</x:v>
      </x:c>
      <x:c r="BO67" s="66" t="str">
        <x:v>3525.3658215452547</x:v>
      </x:c>
    </x:row>
    <x:row r="68">
      <x:c r="A68" s="14" t="str">
        <x:v>MSFT</x:v>
      </x:c>
      <x:c r="B68" s="14" t="str">
        <x:v>Technology</x:v>
      </x:c>
      <x:c r="C68" s="14" t="str">
        <x:v>below2c_vs_cp</x:v>
      </x:c>
      <x:c r="D68" s="47" t="str">
        <x:v>Below 2°C vs Current Policies</x:v>
      </x:c>
      <x:c r="E68" s="14" t="str">
        <x:v>Below 2°C vs CP</x:v>
      </x:c>
      <x:c r="F68" s="14" t="str">
        <x:v>below_2c</x:v>
      </x:c>
      <x:c r="G68" s="14" t="str">
        <x:v>current_policies</x:v>
      </x:c>
      <x:c r="H68" s="14" t="str">
        <x:v>2050</x:v>
      </x:c>
      <x:c r="I68" s="14" t="str">
        <x:v>low</x:v>
      </x:c>
      <x:c r="J68" s="14" t="str">
        <x:v>True</x:v>
      </x:c>
      <x:c r="K68" s="14" t="str">
        <x:v>CFP-2026-003-R17-20260804T234500Z</x:v>
      </x:c>
      <x:c r="L6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8" s="66" t="str">
        <x:v>0.03383746696004053</x:v>
      </x:c>
      <x:c r="N68" s="68" t="str">
        <x:v>1052486760278.6635</x:v>
      </x:c>
      <x:c r="O68" s="68" t="str">
        <x:v>1052842895138.4316</x:v>
      </x:c>
      <x:c r="P68" s="68" t="str">
        <x:v>135207501071.45192</x:v>
      </x:c>
      <x:c r="Q68" s="68" t="str">
        <x:v>135304383230.97932</x:v>
      </x:c>
      <x:c r="R68" s="68" t="str">
        <x:v>96882159.52740479</x:v>
      </x:c>
      <x:c r="S68" s="68" t="str">
        <x:v>73477040696.4498</x:v>
      </x:c>
      <x:c r="T68" s="66" t="str">
        <x:v>0.0020503862049818136</x:v>
      </x:c>
      <x:c r="U68" s="66" t="str">
        <x:v>-0.004985753878136701</x:v>
      </x:c>
      <x:c r="V68" s="66" t="str">
        <x:v>-0.06818524992288606</x:v>
      </x:c>
      <x:c r="W68" s="68" t="str">
        <x:v>2793083.7796170786</x:v>
      </x:c>
      <x:c r="X68" s="68" t="str">
        <x:v>-6791709.899506509</x:v>
      </x:c>
      <x:c r="Y68" s="68" t="str">
        <x:v>-92883533.4075216</x:v>
      </x:c>
      <x:c r="Z68" s="66" t="str">
        <x:v>-0.002691603708419816</x:v>
      </x:c>
      <x:c r="AA68" s="66" t="str">
        <x:v>0.0022551548241010115</x:v>
      </x:c>
      <x:c r="AB68" s="66" t="str">
        <x:v>0.034273915844368334</x:v>
      </x:c>
      <x:c r="AC68" s="68" t="str">
        <x:v>784287.1810575533</x:v>
      </x:c>
      <x:c r="AD68" s="68" t="str">
        <x:v>353983.983241937</x:v>
      </x:c>
      <x:c r="AE68" s="68" t="str">
        <x:v>1654812.6153175884</x:v>
      </x:c>
      <x:c r="AF68" s="68" t="str">
        <x:v>-2550781.76716688</x:v>
      </x:c>
      <x:c r="AG68" s="68" t="str">
        <x:v>-4240928.132339627</x:v>
      </x:c>
      <x:c r="AH68" s="70" t="str">
        <x:v>143510.0</x:v>
      </x:c>
      <x:c r="AI68" s="70" t="str">
        <x:v>259090.0</x:v>
      </x:c>
      <x:c r="AJ68" s="70" t="str">
        <x:v>15140000.0</x:v>
      </x:c>
      <x:c r="AK68" s="68" t="str">
        <x:v>261126000000.0</x:v>
      </x:c>
      <x:c r="AL68" s="66" t="str">
        <x:v>0.18089619337783003</x:v>
      </x:c>
      <x:c r="AM68" s="70" t="str">
        <x:v>0.0</x:v>
      </x:c>
      <x:c r="AN68" s="70" t="str">
        <x:v>0.0</x:v>
      </x:c>
      <x:c r="AO68" s="66" t="str"/>
      <x:c r="AP68" s="14" t="str">
        <x:v>Unverified</x:v>
      </x:c>
      <x:c r="AQ68" s="47" t="str">
        <x:v>Proxy fallback; no issuer facilities in governed match file</x:v>
      </x:c>
      <x:c r="AR68" s="66" t="str"/>
      <x:c r="AS68" s="66" t="str">
        <x:v>7.164771051868868</x:v>
      </x:c>
      <x:c r="AT68" s="66" t="str">
        <x:v>7.579869737287252</x:v>
      </x:c>
      <x:c r="AU68" s="66" t="str">
        <x:v>9.627276973766637</x:v>
      </x:c>
      <x:c r="AV68" s="66" t="str">
        <x:v>2.5</x:v>
      </x:c>
      <x:c r="AW68" s="72" t="str">
        <x:v>0.5</x:v>
      </x:c>
      <x:c r="AX68" s="72" t="str">
        <x:v>0.7</x:v>
      </x:c>
      <x:c r="AY68" s="72" t="str">
        <x:v>0.25</x:v>
      </x:c>
      <x:c r="AZ68" s="72" t="str">
        <x:v>0.01</x:v>
      </x:c>
      <x:c r="BA68" s="72" t="str">
        <x:v>0.05</x:v>
      </x:c>
      <x:c r="BB68" s="72" t="str">
        <x:v>0.06</x:v>
      </x:c>
      <x:c r="BC68" s="72" t="str">
        <x:v>0.7</x:v>
      </x:c>
      <x:c r="BD68" s="72" t="str">
        <x:v>0.05</x:v>
      </x:c>
      <x:c r="BE68" s="72" t="str">
        <x:v>0.15</x:v>
      </x:c>
      <x:c r="BF68" s="14" t="str">
        <x:v>0.7</x:v>
      </x:c>
      <x:c r="BG68" s="72" t="str">
        <x:v>0.35</x:v>
      </x:c>
      <x:c r="BH68" s="74" t="str">
        <x:v>0.974074998898371</x:v>
      </x:c>
      <x:c r="BI68" s="47" t="str">
        <x:v>Common scenario elasticity + issuer SEC CapEx/CFO dependency scale</x:v>
      </x:c>
      <x:c r="BJ68" s="47" t="str">
        <x:v>Modeled estimate using observed inputs + disclosed assumptions</x:v>
      </x:c>
      <x:c r="BK68" s="14" t="str">
        <x:v>False</x:v>
      </x:c>
      <x:c r="BL68" s="14" t="str">
        <x:v>False</x:v>
      </x:c>
      <x:c r="BM68" s="14" t="str">
        <x:v>False</x:v>
      </x:c>
      <x:c r="BN68" s="47" t="str">
        <x:v>Conditional scenario sensitivity; not a forecast or probability</x:v>
      </x:c>
      <x:c r="BO68" s="66" t="str">
        <x:v>99.96617397890866</x:v>
      </x:c>
    </x:row>
    <x:row r="69">
      <x:c r="A69" s="14" t="str">
        <x:v>MSFT</x:v>
      </x:c>
      <x:c r="B69" s="14" t="str">
        <x:v>Technology</x:v>
      </x:c>
      <x:c r="C69" s="14" t="str">
        <x:v>below2c_vs_cp</x:v>
      </x:c>
      <x:c r="D69" s="47" t="str">
        <x:v>Below 2°C vs Current Policies</x:v>
      </x:c>
      <x:c r="E69" s="14" t="str">
        <x:v>Below 2°C vs CP</x:v>
      </x:c>
      <x:c r="F69" s="14" t="str">
        <x:v>below_2c</x:v>
      </x:c>
      <x:c r="G69" s="14" t="str">
        <x:v>current_policies</x:v>
      </x:c>
      <x:c r="H69" s="14" t="str">
        <x:v>2050</x:v>
      </x:c>
      <x:c r="I69" s="14" t="str">
        <x:v>base</x:v>
      </x:c>
      <x:c r="J69" s="14" t="str">
        <x:v>True</x:v>
      </x:c>
      <x:c r="K69" s="14" t="str">
        <x:v>CFP-2026-003-R17-20260804T234500Z</x:v>
      </x:c>
      <x:c r="L6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69" s="66" t="str">
        <x:v>0.054244781334666925</x:v>
      </x:c>
      <x:c r="N69" s="68" t="str">
        <x:v>1048516881573.2354</x:v>
      </x:c>
      <x:c r="O69" s="68" t="str">
        <x:v>1049085647262.9017</x:v>
      </x:c>
      <x:c r="P69" s="68" t="str">
        <x:v>134348025850.03798</x:v>
      </x:c>
      <x:c r="Q69" s="68" t="str">
        <x:v>134512910265.53935</x:v>
      </x:c>
      <x:c r="R69" s="68" t="str">
        <x:v>164884415.5013733</x:v>
      </x:c>
      <x:c r="S69" s="68" t="str">
        <x:v>73477040696.4498</x:v>
      </x:c>
      <x:c r="T69" s="66" t="str">
        <x:v>0.011427224442297651</x:v>
      </x:c>
      <x:c r="U69" s="66" t="str">
        <x:v>-0.015578894184067424</x:v>
      </x:c>
      <x:c r="V69" s="66" t="str">
        <x:v>-0.11688899986780456</x:v>
      </x:c>
      <x:c r="W69" s="68" t="str">
        <x:v>15566430.928122872</x:v>
      </x:c>
      <x:c r="X69" s="68" t="str">
        <x:v>-21221932.01659563</x:v>
      </x:c>
      <x:c r="Y69" s="68" t="str">
        <x:v>-159228914.412894</x:v>
      </x:c>
      <x:c r="Z69" s="66" t="str">
        <x:v>-0.011649176941951654</x:v>
      </x:c>
      <x:c r="AA69" s="66" t="str">
        <x:v>0.006916215606179782</x:v>
      </x:c>
      <x:c r="AB69" s="66" t="str">
        <x:v>0.05897774267043037</x:v>
      </x:c>
      <x:c r="AC69" s="68" t="str">
        <x:v>3300793.4570802497</x:v>
      </x:c>
      <x:c r="AD69" s="68" t="str">
        <x:v>2979592.282053243</x:v>
      </x:c>
      <x:c r="AE69" s="68" t="str">
        <x:v>9286045.18898938</x:v>
      </x:c>
      <x:c r="AF69" s="68" t="str">
        <x:v>-7085504.908796888</x:v>
      </x:c>
      <x:c r="AG69" s="68" t="str">
        <x:v>-14136427.107798755</x:v>
      </x:c>
      <x:c r="AH69" s="70" t="str">
        <x:v>143510.0</x:v>
      </x:c>
      <x:c r="AI69" s="70" t="str">
        <x:v>259090.0</x:v>
      </x:c>
      <x:c r="AJ69" s="70" t="str">
        <x:v>15140000.0</x:v>
      </x:c>
      <x:c r="AK69" s="68" t="str">
        <x:v>261126000000.0</x:v>
      </x:c>
      <x:c r="AL69" s="66" t="str">
        <x:v>0.18089619337783003</x:v>
      </x:c>
      <x:c r="AM69" s="70" t="str">
        <x:v>0.0</x:v>
      </x:c>
      <x:c r="AN69" s="70" t="str">
        <x:v>0.0</x:v>
      </x:c>
      <x:c r="AO69" s="66" t="str"/>
      <x:c r="AP69" s="14" t="str">
        <x:v>Unverified</x:v>
      </x:c>
      <x:c r="AQ69" s="47" t="str">
        <x:v>Proxy fallback; no issuer facilities in governed match file</x:v>
      </x:c>
      <x:c r="AR69" s="66" t="str"/>
      <x:c r="AS69" s="66" t="str">
        <x:v>7.164771051868868</x:v>
      </x:c>
      <x:c r="AT69" s="66" t="str">
        <x:v>7.579869737287252</x:v>
      </x:c>
      <x:c r="AU69" s="66" t="str">
        <x:v>9.627276973766637</x:v>
      </x:c>
      <x:c r="AV69" s="66" t="str">
        <x:v>2.5</x:v>
      </x:c>
      <x:c r="AW69" s="72" t="str">
        <x:v>0.75</x:v>
      </x:c>
      <x:c r="AX69" s="72" t="str">
        <x:v>0.5</x:v>
      </x:c>
      <x:c r="AY69" s="72" t="str">
        <x:v>0.5</x:v>
      </x:c>
      <x:c r="AZ69" s="72" t="str">
        <x:v>0.02</x:v>
      </x:c>
      <x:c r="BA69" s="72" t="str">
        <x:v>0.03</x:v>
      </x:c>
      <x:c r="BB69" s="72" t="str">
        <x:v>0.1</x:v>
      </x:c>
      <x:c r="BC69" s="72" t="str">
        <x:v>0.5</x:v>
      </x:c>
      <x:c r="BD69" s="72" t="str">
        <x:v>0.1</x:v>
      </x:c>
      <x:c r="BE69" s="72" t="str">
        <x:v>0.25</x:v>
      </x:c>
      <x:c r="BF69" s="14" t="str">
        <x:v>0.7</x:v>
      </x:c>
      <x:c r="BG69" s="72" t="str">
        <x:v>0.6</x:v>
      </x:c>
      <x:c r="BH69" s="74" t="str">
        <x:v>0.974074998898371</x:v>
      </x:c>
      <x:c r="BI69" s="47" t="str">
        <x:v>Common scenario elasticity + issuer SEC CapEx/CFO dependency scale</x:v>
      </x:c>
      <x:c r="BJ69" s="47" t="str">
        <x:v>Modeled estimate using observed inputs + disclosed assumptions</x:v>
      </x:c>
      <x:c r="BK69" s="14" t="str">
        <x:v>False</x:v>
      </x:c>
      <x:c r="BL69" s="14" t="str">
        <x:v>False</x:v>
      </x:c>
      <x:c r="BM69" s="14" t="str">
        <x:v>False</x:v>
      </x:c>
      <x:c r="BN69" s="47" t="str">
        <x:v>Conditional scenario sensitivity; not a forecast or probability</x:v>
      </x:c>
      <x:c r="BO69" s="66" t="str">
        <x:v>99.94578462767551</x:v>
      </x:c>
    </x:row>
    <x:row r="70">
      <x:c r="A70" s="14" t="str">
        <x:v>MSFT</x:v>
      </x:c>
      <x:c r="B70" s="14" t="str">
        <x:v>Technology</x:v>
      </x:c>
      <x:c r="C70" s="14" t="str">
        <x:v>below2c_vs_cp</x:v>
      </x:c>
      <x:c r="D70" s="47" t="str">
        <x:v>Below 2°C vs Current Policies</x:v>
      </x:c>
      <x:c r="E70" s="14" t="str">
        <x:v>Below 2°C vs CP</x:v>
      </x:c>
      <x:c r="F70" s="14" t="str">
        <x:v>below_2c</x:v>
      </x:c>
      <x:c r="G70" s="14" t="str">
        <x:v>current_policies</x:v>
      </x:c>
      <x:c r="H70" s="14" t="str">
        <x:v>2050</x:v>
      </x:c>
      <x:c r="I70" s="14" t="str">
        <x:v>high</x:v>
      </x:c>
      <x:c r="J70" s="14" t="str">
        <x:v>True</x:v>
      </x:c>
      <x:c r="K70" s="14" t="str">
        <x:v>CFP-2026-003-R17-20260804T234500Z</x:v>
      </x:c>
      <x:c r="L7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0" s="66" t="str">
        <x:v>0.07659645646627133</x:v>
      </x:c>
      <x:c r="N70" s="68" t="str">
        <x:v>1040138467816.242</x:v>
      </x:c>
      <x:c r="O70" s="68" t="str">
        <x:v>1040935177024.9318</x:v>
      </x:c>
      <x:c r="P70" s="68" t="str">
        <x:v>132696725597.14645</x:v>
      </x:c>
      <x:c r="Q70" s="68" t="str">
        <x:v>132953267267.18056</x:v>
      </x:c>
      <x:c r="R70" s="68" t="str">
        <x:v>256541670.0341034</x:v>
      </x:c>
      <x:c r="S70" s="68" t="str">
        <x:v>73477040696.4498</x:v>
      </x:c>
      <x:c r="T70" s="66" t="str">
        <x:v>0.04952787623748839</x:v>
      </x:c>
      <x:c r="U70" s="66" t="str">
        <x:v>-0.04303859195533955</x:v>
      </x:c>
      <x:c r="V70" s="66" t="str">
        <x:v>-0.1948149997796743</x:v>
      </x:c>
      <x:c r="W70" s="68" t="str">
        <x:v>67468025.00997023</x:v>
      </x:c>
      <x:c r="X70" s="68" t="str">
        <x:v>-58628171.02258217</x:v>
      </x:c>
      <x:c r="Y70" s="68" t="str">
        <x:v>-265381524.0214901</x:v>
      </x:c>
      <x:c r="Z70" s="66" t="str">
        <x:v>-0.040645764793856926</x:v>
      </x:c>
      <x:c r="AA70" s="66" t="str">
        <x:v>0.01815419798174688</x:v>
      </x:c>
      <x:c r="AB70" s="66" t="str">
        <x:v>0.09908802327838233</x:v>
      </x:c>
      <x:c r="AC70" s="68" t="str">
        <x:v>10262936.228995688</x:v>
      </x:c>
      <x:c r="AD70" s="68" t="str">
        <x:v>13896370.362189882</x:v>
      </x:c>
      <x:c r="AE70" s="68" t="str">
        <x:v>43308718.41878467</x:v>
      </x:c>
      <x:c r="AF70" s="68" t="str">
        <x:v>-13391604.277626116</x:v>
      </x:c>
      <x:c r="AG70" s="68" t="str">
        <x:v>-45236566.74495602</x:v>
      </x:c>
      <x:c r="AH70" s="70" t="str">
        <x:v>143510.0</x:v>
      </x:c>
      <x:c r="AI70" s="70" t="str">
        <x:v>259090.0</x:v>
      </x:c>
      <x:c r="AJ70" s="70" t="str">
        <x:v>15140000.0</x:v>
      </x:c>
      <x:c r="AK70" s="68" t="str">
        <x:v>261126000000.0</x:v>
      </x:c>
      <x:c r="AL70" s="66" t="str">
        <x:v>0.18089619337783003</x:v>
      </x:c>
      <x:c r="AM70" s="70" t="str">
        <x:v>0.0</x:v>
      </x:c>
      <x:c r="AN70" s="70" t="str">
        <x:v>0.0</x:v>
      </x:c>
      <x:c r="AO70" s="66" t="str"/>
      <x:c r="AP70" s="14" t="str">
        <x:v>Unverified</x:v>
      </x:c>
      <x:c r="AQ70" s="47" t="str">
        <x:v>Proxy fallback; no issuer facilities in governed match file</x:v>
      </x:c>
      <x:c r="AR70" s="66" t="str"/>
      <x:c r="AS70" s="66" t="str">
        <x:v>7.164771051868868</x:v>
      </x:c>
      <x:c r="AT70" s="66" t="str">
        <x:v>7.579869737287252</x:v>
      </x:c>
      <x:c r="AU70" s="66" t="str">
        <x:v>9.627276973766637</x:v>
      </x:c>
      <x:c r="AV70" s="66" t="str">
        <x:v>2.5</x:v>
      </x:c>
      <x:c r="AW70" s="72" t="str">
        <x:v>1.0</x:v>
      </x:c>
      <x:c r="AX70" s="72" t="str">
        <x:v>0.3</x:v>
      </x:c>
      <x:c r="AY70" s="72" t="str">
        <x:v>0.75</x:v>
      </x:c>
      <x:c r="AZ70" s="72" t="str">
        <x:v>0.04</x:v>
      </x:c>
      <x:c r="BA70" s="72" t="str">
        <x:v>0.01</x:v>
      </x:c>
      <x:c r="BB70" s="72" t="str">
        <x:v>0.135</x:v>
      </x:c>
      <x:c r="BC70" s="72" t="str">
        <x:v>0.3</x:v>
      </x:c>
      <x:c r="BD70" s="72" t="str">
        <x:v>0.2</x:v>
      </x:c>
      <x:c r="BE70" s="72" t="str">
        <x:v>0.4</x:v>
      </x:c>
      <x:c r="BF70" s="14" t="str">
        <x:v>0.7</x:v>
      </x:c>
      <x:c r="BG70" s="72" t="str">
        <x:v>1.0</x:v>
      </x:c>
      <x:c r="BH70" s="74" t="str">
        <x:v>0.974074998898371</x:v>
      </x:c>
      <x:c r="BI70" s="47" t="str">
        <x:v>Common scenario elasticity + issuer SEC CapEx/CFO dependency scale</x:v>
      </x:c>
      <x:c r="BJ70" s="47" t="str">
        <x:v>Modeled estimate using observed inputs + disclosed assumptions</x:v>
      </x:c>
      <x:c r="BK70" s="14" t="str">
        <x:v>False</x:v>
      </x:c>
      <x:c r="BL70" s="14" t="str">
        <x:v>False</x:v>
      </x:c>
      <x:c r="BM70" s="14" t="str">
        <x:v>False</x:v>
      </x:c>
      <x:c r="BN70" s="47" t="str">
        <x:v>Conditional scenario sensitivity; not a forecast or probability</x:v>
      </x:c>
      <x:c r="BO70" s="66" t="str">
        <x:v>99.92346216880028</x:v>
      </x:c>
    </x:row>
    <x:row r="71">
      <x:c r="A71" s="14" t="str">
        <x:v>NEE</x:v>
      </x:c>
      <x:c r="B71" s="14" t="str">
        <x:v>Utilities</x:v>
      </x:c>
      <x:c r="C71" s="14" t="str">
        <x:v>below2c_vs_cp</x:v>
      </x:c>
      <x:c r="D71" s="47" t="str">
        <x:v>Below 2°C vs Current Policies</x:v>
      </x:c>
      <x:c r="E71" s="14" t="str">
        <x:v>Below 2°C vs CP</x:v>
      </x:c>
      <x:c r="F71" s="14" t="str">
        <x:v>below_2c</x:v>
      </x:c>
      <x:c r="G71" s="14" t="str">
        <x:v>current_policies</x:v>
      </x:c>
      <x:c r="H71" s="14" t="str">
        <x:v>2050</x:v>
      </x:c>
      <x:c r="I71" s="14" t="str">
        <x:v>low</x:v>
      </x:c>
      <x:c r="J71" s="14" t="str">
        <x:v>True</x:v>
      </x:c>
      <x:c r="K71" s="14" t="str">
        <x:v>CFP-2026-003-R17-20260804T234500Z</x:v>
      </x:c>
      <x:c r="L7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1" s="66" t="str">
        <x:v>-1.6298581562398717</x:v>
      </x:c>
      <x:c r="N71" s="68" t="str">
        <x:v>205485161536.0185</x:v>
      </x:c>
      <x:c r="O71" s="68" t="str">
        <x:v>202136044870.86102</x:v>
      </x:c>
      <x:c r="P71" s="68" t="str">
        <x:v>15922536116.732552</x:v>
      </x:c>
      <x:c r="Q71" s="68" t="str">
        <x:v>15722170055.018717</x:v>
      </x:c>
      <x:c r="R71" s="68" t="str">
        <x:v>-200366061.71383476</x:v>
      </x:c>
      <x:c r="S71" s="68" t="str">
        <x:v>9879440000.0</x:v>
      </x:c>
      <x:c r="T71" s="66" t="str">
        <x:v>1.4639039176152333</x:v>
      </x:c>
      <x:c r="U71" s="66" t="str">
        <x:v>-0.08770733136382054</x:v>
      </x:c>
      <x:c r="V71" s="66" t="str">
        <x:v>-0.1399999999999998</x:v>
      </x:c>
      <x:c r="W71" s="68" t="str">
        <x:v>237273477.34348524</x:v>
      </x:c>
      <x:c r="X71" s="68" t="str">
        <x:v>-14215839.749313936</x:v>
      </x:c>
      <x:c r="Y71" s="68" t="str">
        <x:v>-22691575.880336463</x:v>
      </x:c>
      <x:c r="Z71" s="66" t="str">
        <x:v>-1.7744636415377995</x:v>
      </x:c>
      <x:c r="AA71" s="66" t="str">
        <x:v>0.058904844181483756</x:v>
      </x:c>
      <x:c r="AB71" s="66" t="str">
        <x:v>0.08570064111644504</x:v>
      </x:c>
      <x:c r="AC71" s="68" t="str">
        <x:v>237236714.7918015</x:v>
      </x:c>
      <x:c r="AD71" s="68" t="str">
        <x:v>34980.32314231854</x:v>
      </x:c>
      <x:c r="AE71" s="68" t="str">
        <x:v>1782.228541417244</x:v>
      </x:c>
      <x:c r="AF71" s="68" t="str">
        <x:v>-13711237.428706829</x:v>
      </x:c>
      <x:c r="AG71" s="68" t="str">
        <x:v>-504602.32060710154</x:v>
      </x:c>
      <x:c r="AH71" s="70" t="str">
        <x:v>43409916.37</x:v>
      </x:c>
      <x:c r="AI71" s="70" t="str">
        <x:v>25603.0</x:v>
      </x:c>
      <x:c r="AJ71" s="70" t="str">
        <x:v>65222.95</x:v>
      </x:c>
      <x:c r="AK71" s="68" t="str">
        <x:v>156197000000.0</x:v>
      </x:c>
      <x:c r="AL71" s="66" t="str">
        <x:v>0.25009029941509914</x:v>
      </x:c>
      <x:c r="AM71" s="70" t="str">
        <x:v>23.0</x:v>
      </x:c>
      <x:c r="AN71" s="70" t="str">
        <x:v>27.0</x:v>
      </x:c>
      <x:c r="AO71" s="66" t="str">
        <x:v>85.18518518518519</x:v>
      </x:c>
      <x:c r="AP71" s="14" t="str">
        <x:v>High</x:v>
      </x:c>
      <x:c r="AQ71" s="47" t="str">
        <x:v>Issuer facility-to-FEMA county match</x:v>
      </x:c>
      <x:c r="AR71" s="66" t="str">
        <x:v>0.25009029941509914</x:v>
      </x:c>
      <x:c r="AS71" s="66" t="str">
        <x:v>7.164771051868868</x:v>
      </x:c>
      <x:c r="AT71" s="66" t="str">
        <x:v>7.579869737287252</x:v>
      </x:c>
      <x:c r="AU71" s="66" t="str">
        <x:v>6.849686675720218</x:v>
      </x:c>
      <x:c r="AV71" s="66" t="str">
        <x:v>2.0</x:v>
      </x:c>
      <x:c r="AW71" s="72" t="str">
        <x:v>0.5</x:v>
      </x:c>
      <x:c r="AX71" s="72" t="str">
        <x:v>0.7</x:v>
      </x:c>
      <x:c r="AY71" s="72" t="str">
        <x:v>0.25</x:v>
      </x:c>
      <x:c r="AZ71" s="72" t="str">
        <x:v>0.0025</x:v>
      </x:c>
      <x:c r="BA71" s="72" t="str">
        <x:v>0.05</x:v>
      </x:c>
      <x:c r="BB71" s="72" t="str">
        <x:v>0.39</x:v>
      </x:c>
      <x:c r="BC71" s="72" t="str">
        <x:v>0.7</x:v>
      </x:c>
      <x:c r="BD71" s="72" t="str">
        <x:v>0.05</x:v>
      </x:c>
      <x:c r="BE71" s="72" t="str">
        <x:v>0.15</x:v>
      </x:c>
      <x:c r="BF71" s="14" t="str">
        <x:v>0.7</x:v>
      </x:c>
      <x:c r="BG71" s="72" t="str">
        <x:v>0.35</x:v>
      </x:c>
      <x:c r="BH71" s="74" t="str">
        <x:v>2.0</x:v>
      </x:c>
      <x:c r="BI71" s="47" t="str">
        <x:v>Common scenario elasticity + issuer SEC CapEx/CFO dependency scale</x:v>
      </x:c>
      <x:c r="BJ71" s="47" t="str">
        <x:v>Modeled estimate using observed inputs + disclosed assumptions</x:v>
      </x:c>
      <x:c r="BK71" s="14" t="str">
        <x:v>False</x:v>
      </x:c>
      <x:c r="BL71" s="14" t="str">
        <x:v>False</x:v>
      </x:c>
      <x:c r="BM71" s="14" t="str">
        <x:v>False</x:v>
      </x:c>
      <x:c r="BN71" s="47" t="str">
        <x:v>Conditional scenario sensitivity; not a forecast or probability</x:v>
      </x:c>
      <x:c r="BO71" s="66" t="str">
        <x:v>101.65686266756487</x:v>
      </x:c>
    </x:row>
    <x:row r="72">
      <x:c r="A72" s="14" t="str">
        <x:v>NEE</x:v>
      </x:c>
      <x:c r="B72" s="14" t="str">
        <x:v>Utilities</x:v>
      </x:c>
      <x:c r="C72" s="14" t="str">
        <x:v>below2c_vs_cp</x:v>
      </x:c>
      <x:c r="D72" s="47" t="str">
        <x:v>Below 2°C vs Current Policies</x:v>
      </x:c>
      <x:c r="E72" s="14" t="str">
        <x:v>Below 2°C vs CP</x:v>
      </x:c>
      <x:c r="F72" s="14" t="str">
        <x:v>below_2c</x:v>
      </x:c>
      <x:c r="G72" s="14" t="str">
        <x:v>current_policies</x:v>
      </x:c>
      <x:c r="H72" s="14" t="str">
        <x:v>2050</x:v>
      </x:c>
      <x:c r="I72" s="14" t="str">
        <x:v>base</x:v>
      </x:c>
      <x:c r="J72" s="14" t="str">
        <x:v>True</x:v>
      </x:c>
      <x:c r="K72" s="14" t="str">
        <x:v>CFP-2026-003-R17-20260804T234500Z</x:v>
      </x:c>
      <x:c r="L7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2" s="66" t="str">
        <x:v>-5.855085956499561</x:v>
      </x:c>
      <x:c r="N72" s="68" t="str">
        <x:v>203166572896.6266</x:v>
      </x:c>
      <x:c r="O72" s="68" t="str">
        <x:v>191270995418.65475</x:v>
      </x:c>
      <x:c r="P72" s="68" t="str">
        <x:v>15645191181.486599</x:v>
      </x:c>
      <x:c r="Q72" s="68" t="str">
        <x:v>14725108091.563461</x:v>
      </x:c>
      <x:c r="R72" s="68" t="str">
        <x:v>-920083089.9231377</x:v>
      </x:c>
      <x:c r="S72" s="68" t="str">
        <x:v>9879440000.0</x:v>
      </x:c>
      <x:c r="T72" s="66" t="str">
        <x:v>6.161988947342251</x:v>
      </x:c>
      <x:c r="U72" s="66" t="str">
        <x:v>-0.24536105386652246</x:v>
      </x:c>
      <x:c r="V72" s="66" t="str">
        <x:v>-0.2399999999999998</x:v>
      </x:c>
      <x:c r="W72" s="68" t="str">
        <x:v>998751712.660082</x:v>
      </x:c>
      <x:c r="X72" s="68" t="str">
        <x:v>-39768778.37065375</x:v>
      </x:c>
      <x:c r="Y72" s="68" t="str">
        <x:v>-38899844.366291106</x:v>
      </x:c>
      <x:c r="Z72" s="66" t="str">
        <x:v>-6.170029065862198</x:v>
      </x:c>
      <x:c r="AA72" s="66" t="str">
        <x:v>0.1663510888280128</x:v>
      </x:c>
      <x:c r="AB72" s="66" t="str">
        <x:v>0.14859202053462192</x:v>
      </x:c>
      <x:c r="AC72" s="68" t="str">
        <x:v>998447271.4549286</x:v>
      </x:c>
      <x:c r="AD72" s="68" t="str">
        <x:v>294440.1605519672</x:v>
      </x:c>
      <x:c r="AE72" s="68" t="str">
        <x:v>10001.044601373758</x:v>
      </x:c>
      <x:c r="AF72" s="68" t="str">
        <x:v>-38086770.63529673</x:v>
      </x:c>
      <x:c r="AG72" s="68" t="str">
        <x:v>-1682007.7353569977</x:v>
      </x:c>
      <x:c r="AH72" s="70" t="str">
        <x:v>43409916.37</x:v>
      </x:c>
      <x:c r="AI72" s="70" t="str">
        <x:v>25603.0</x:v>
      </x:c>
      <x:c r="AJ72" s="70" t="str">
        <x:v>65222.95</x:v>
      </x:c>
      <x:c r="AK72" s="68" t="str">
        <x:v>156197000000.0</x:v>
      </x:c>
      <x:c r="AL72" s="66" t="str">
        <x:v>0.25009029941509914</x:v>
      </x:c>
      <x:c r="AM72" s="70" t="str">
        <x:v>23.0</x:v>
      </x:c>
      <x:c r="AN72" s="70" t="str">
        <x:v>27.0</x:v>
      </x:c>
      <x:c r="AO72" s="66" t="str">
        <x:v>85.18518518518519</x:v>
      </x:c>
      <x:c r="AP72" s="14" t="str">
        <x:v>High</x:v>
      </x:c>
      <x:c r="AQ72" s="47" t="str">
        <x:v>Issuer facility-to-FEMA county match</x:v>
      </x:c>
      <x:c r="AR72" s="66" t="str">
        <x:v>0.25009029941509914</x:v>
      </x:c>
      <x:c r="AS72" s="66" t="str">
        <x:v>7.164771051868868</x:v>
      </x:c>
      <x:c r="AT72" s="66" t="str">
        <x:v>7.579869737287252</x:v>
      </x:c>
      <x:c r="AU72" s="66" t="str">
        <x:v>6.849686675720218</x:v>
      </x:c>
      <x:c r="AV72" s="66" t="str">
        <x:v>2.0</x:v>
      </x:c>
      <x:c r="AW72" s="72" t="str">
        <x:v>0.75</x:v>
      </x:c>
      <x:c r="AX72" s="72" t="str">
        <x:v>0.5</x:v>
      </x:c>
      <x:c r="AY72" s="72" t="str">
        <x:v>0.5</x:v>
      </x:c>
      <x:c r="AZ72" s="72" t="str">
        <x:v>0.005</x:v>
      </x:c>
      <x:c r="BA72" s="72" t="str">
        <x:v>0.03</x:v>
      </x:c>
      <x:c r="BB72" s="72" t="str">
        <x:v>0.65</x:v>
      </x:c>
      <x:c r="BC72" s="72" t="str">
        <x:v>0.5</x:v>
      </x:c>
      <x:c r="BD72" s="72" t="str">
        <x:v>0.1</x:v>
      </x:c>
      <x:c r="BE72" s="72" t="str">
        <x:v>0.25</x:v>
      </x:c>
      <x:c r="BF72" s="14" t="str">
        <x:v>0.7</x:v>
      </x:c>
      <x:c r="BG72" s="72" t="str">
        <x:v>0.6</x:v>
      </x:c>
      <x:c r="BH72" s="74" t="str">
        <x:v>2.0</x:v>
      </x:c>
      <x:c r="BI72" s="47" t="str">
        <x:v>Common scenario elasticity + issuer SEC CapEx/CFO dependency scale</x:v>
      </x:c>
      <x:c r="BJ72" s="47" t="str">
        <x:v>Modeled estimate using observed inputs + disclosed assumptions</x:v>
      </x:c>
      <x:c r="BK72" s="14" t="str">
        <x:v>False</x:v>
      </x:c>
      <x:c r="BL72" s="14" t="str">
        <x:v>False</x:v>
      </x:c>
      <x:c r="BM72" s="14" t="str">
        <x:v>False</x:v>
      </x:c>
      <x:c r="BN72" s="47" t="str">
        <x:v>Conditional scenario sensitivity; not a forecast or probability</x:v>
      </x:c>
      <x:c r="BO72" s="66" t="str">
        <x:v>106.21922704586481</x:v>
      </x:c>
    </x:row>
    <x:row r="73">
      <x:c r="A73" s="14" t="str">
        <x:v>NEE</x:v>
      </x:c>
      <x:c r="B73" s="14" t="str">
        <x:v>Utilities</x:v>
      </x:c>
      <x:c r="C73" s="14" t="str">
        <x:v>below2c_vs_cp</x:v>
      </x:c>
      <x:c r="D73" s="47" t="str">
        <x:v>Below 2°C vs Current Policies</x:v>
      </x:c>
      <x:c r="E73" s="14" t="str">
        <x:v>Below 2°C vs CP</x:v>
      </x:c>
      <x:c r="F73" s="14" t="str">
        <x:v>below_2c</x:v>
      </x:c>
      <x:c r="G73" s="14" t="str">
        <x:v>current_policies</x:v>
      </x:c>
      <x:c r="H73" s="14" t="str">
        <x:v>2050</x:v>
      </x:c>
      <x:c r="I73" s="14" t="str">
        <x:v>high</x:v>
      </x:c>
      <x:c r="J73" s="14" t="str">
        <x:v>True</x:v>
      </x:c>
      <x:c r="K73" s="14" t="str">
        <x:v>CFP-2026-003-R17-20260804T234500Z</x:v>
      </x:c>
      <x:c r="L7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3" s="66" t="str">
        <x:v>-15.934391762325383</x:v>
      </x:c>
      <x:c r="N73" s="68" t="str">
        <x:v>199106173031.11072</x:v>
      </x:c>
      <x:c r="O73" s="68" t="str">
        <x:v>167379815397.36008</x:v>
      </x:c>
      <x:c r="P73" s="68" t="str">
        <x:v>15170679225.627037</x:v>
      </x:c>
      <x:c r="Q73" s="68" t="str">
        <x:v>12207053561.126331</x:v>
      </x:c>
      <x:c r="R73" s="68" t="str">
        <x:v>-2963625664.5007057</x:v>
      </x:c>
      <x:c r="S73" s="68" t="str">
        <x:v>9879440000.0</x:v>
      </x:c>
      <x:c r="T73" s="66" t="str">
        <x:v>19.161979963435012</x:v>
      </x:c>
      <x:c r="U73" s="66" t="str">
        <x:v>-0.47732687375517935</x:v>
      </x:c>
      <x:c r="V73" s="66" t="str">
        <x:v>-0.3999999999999993</x:v>
      </x:c>
      <x:c r="W73" s="68" t="str">
        <x:v>3105825159.698379</x:v>
      </x:c>
      <x:c r="X73" s="68" t="str">
        <x:v>-77366421.25385323</x:v>
      </x:c>
      <x:c r="Y73" s="68" t="str">
        <x:v>-64833073.94381845</x:v>
      </x:c>
      <x:c r="Z73" s="66" t="str">
        <x:v>-16.51480179755221</x:v>
      </x:c>
      <x:c r="AA73" s="66" t="str">
        <x:v>0.32770623811678534</x:v>
      </x:c>
      <x:c r="AB73" s="66" t="str">
        <x:v>0.2527037971100335</x:v>
      </x:c>
      <x:c r="AC73" s="68" t="str">
        <x:v>3104405291.696369</x:v>
      </x:c>
      <x:c r="AD73" s="68" t="str">
        <x:v>1373224.6338459512</x:v>
      </x:c>
      <x:c r="AE73" s="68" t="str">
        <x:v>46643.368163680185</x:v>
      </x:c>
      <x:c r="AF73" s="68" t="str">
        <x:v>-71983996.50071084</x:v>
      </x:c>
      <x:c r="AG73" s="68" t="str">
        <x:v>-5382424.753142402</x:v>
      </x:c>
      <x:c r="AH73" s="70" t="str">
        <x:v>43409916.37</x:v>
      </x:c>
      <x:c r="AI73" s="70" t="str">
        <x:v>25603.0</x:v>
      </x:c>
      <x:c r="AJ73" s="70" t="str">
        <x:v>65222.95</x:v>
      </x:c>
      <x:c r="AK73" s="68" t="str">
        <x:v>156197000000.0</x:v>
      </x:c>
      <x:c r="AL73" s="66" t="str">
        <x:v>0.25009029941509914</x:v>
      </x:c>
      <x:c r="AM73" s="70" t="str">
        <x:v>23.0</x:v>
      </x:c>
      <x:c r="AN73" s="70" t="str">
        <x:v>27.0</x:v>
      </x:c>
      <x:c r="AO73" s="66" t="str">
        <x:v>85.18518518518519</x:v>
      </x:c>
      <x:c r="AP73" s="14" t="str">
        <x:v>High</x:v>
      </x:c>
      <x:c r="AQ73" s="47" t="str">
        <x:v>Issuer facility-to-FEMA county match</x:v>
      </x:c>
      <x:c r="AR73" s="66" t="str">
        <x:v>0.25009029941509914</x:v>
      </x:c>
      <x:c r="AS73" s="66" t="str">
        <x:v>7.164771051868868</x:v>
      </x:c>
      <x:c r="AT73" s="66" t="str">
        <x:v>7.579869737287252</x:v>
      </x:c>
      <x:c r="AU73" s="66" t="str">
        <x:v>6.849686675720218</x:v>
      </x:c>
      <x:c r="AV73" s="66" t="str">
        <x:v>2.0</x:v>
      </x:c>
      <x:c r="AW73" s="72" t="str">
        <x:v>1.0</x:v>
      </x:c>
      <x:c r="AX73" s="72" t="str">
        <x:v>0.3</x:v>
      </x:c>
      <x:c r="AY73" s="72" t="str">
        <x:v>0.75</x:v>
      </x:c>
      <x:c r="AZ73" s="72" t="str">
        <x:v>0.01</x:v>
      </x:c>
      <x:c r="BA73" s="72" t="str">
        <x:v>0.01</x:v>
      </x:c>
      <x:c r="BB73" s="72" t="str">
        <x:v>0.8775000000000001</x:v>
      </x:c>
      <x:c r="BC73" s="72" t="str">
        <x:v>0.3</x:v>
      </x:c>
      <x:c r="BD73" s="72" t="str">
        <x:v>0.2</x:v>
      </x:c>
      <x:c r="BE73" s="72" t="str">
        <x:v>0.4</x:v>
      </x:c>
      <x:c r="BF73" s="14" t="str">
        <x:v>0.7</x:v>
      </x:c>
      <x:c r="BG73" s="72" t="str">
        <x:v>1.0</x:v>
      </x:c>
      <x:c r="BH73" s="74" t="str">
        <x:v>2.0</x:v>
      </x:c>
      <x:c r="BI73" s="47" t="str">
        <x:v>Common scenario elasticity + issuer SEC CapEx/CFO dependency scale</x:v>
      </x:c>
      <x:c r="BJ73" s="47" t="str">
        <x:v>Modeled estimate using observed inputs + disclosed assumptions</x:v>
      </x:c>
      <x:c r="BK73" s="14" t="str">
        <x:v>False</x:v>
      </x:c>
      <x:c r="BL73" s="14" t="str">
        <x:v>False</x:v>
      </x:c>
      <x:c r="BM73" s="14" t="str">
        <x:v>False</x:v>
      </x:c>
      <x:c r="BN73" s="47" t="str">
        <x:v>Conditional scenario sensitivity; not a forecast or probability</x:v>
      </x:c>
      <x:c r="BO73" s="66" t="str">
        <x:v>118.9547094184757</x:v>
      </x:c>
    </x:row>
    <x:row r="74">
      <x:c r="A74" s="14" t="str">
        <x:v>XOM</x:v>
      </x:c>
      <x:c r="B74" s="14" t="str">
        <x:v>Energy</x:v>
      </x:c>
      <x:c r="C74" s="14" t="str">
        <x:v>below2c_vs_cp</x:v>
      </x:c>
      <x:c r="D74" s="47" t="str">
        <x:v>Below 2°C vs Current Policies</x:v>
      </x:c>
      <x:c r="E74" s="14" t="str">
        <x:v>Below 2°C vs CP</x:v>
      </x:c>
      <x:c r="F74" s="14" t="str">
        <x:v>below_2c</x:v>
      </x:c>
      <x:c r="G74" s="14" t="str">
        <x:v>current_policies</x:v>
      </x:c>
      <x:c r="H74" s="14" t="str">
        <x:v>2050</x:v>
      </x:c>
      <x:c r="I74" s="14" t="str">
        <x:v>low</x:v>
      </x:c>
      <x:c r="J74" s="14" t="str">
        <x:v>True</x:v>
      </x:c>
      <x:c r="K74" s="14" t="str">
        <x:v>CFP-2026-003-R17-20260804T234500Z</x:v>
      </x:c>
      <x:c r="L7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4" s="66" t="str">
        <x:v>-1.7353295020613335</x:v>
      </x:c>
      <x:c r="N74" s="68" t="str">
        <x:v>672151861267.1616</x:v>
      </x:c>
      <x:c r="O74" s="68" t="str">
        <x:v>660487811719.9382</x:v>
      </x:c>
      <x:c r="P74" s="68" t="str">
        <x:v>37211330440.244995</x:v>
      </x:c>
      <x:c r="Q74" s="68" t="str">
        <x:v>36665278464.9758</x:v>
      </x:c>
      <x:c r="R74" s="68" t="str">
        <x:v>-546051975.2691956</x:v>
      </x:c>
      <x:c r="S74" s="68" t="str">
        <x:v>24046905786.56586</x:v>
      </x:c>
      <x:c r="T74" s="66" t="str">
        <x:v>1.5660765601676265</x:v>
      </x:c>
      <x:c r="U74" s="66" t="str">
        <x:v>-0.03916174868649893</x:v>
      </x:c>
      <x:c r="V74" s="66" t="str">
        <x:v>-0.0731962670771599</x:v>
      </x:c>
      <x:c r="W74" s="68" t="str">
        <x:v>588256373.5560939</x:v>
      </x:c>
      <x:c r="X74" s="68" t="str">
        <x:v>-14710103.484320834</x:v>
      </x:c>
      <x:c r="Y74" s="68" t="str">
        <x:v>-27494294.802576333</x:v>
      </x:c>
      <x:c r="Z74" s="66" t="str">
        <x:v>-1.8135606297039488</x:v>
      </x:c>
      <x:c r="AA74" s="66" t="str">
        <x:v>0.02822310333692185</x:v>
      </x:c>
      <x:c r="AB74" s="66" t="str">
        <x:v>0.05000802430569841</x:v>
      </x:c>
      <x:c r="AC74" s="68" t="str">
        <x:v>568363645.9479169</x:v>
      </x:c>
      <x:c r="AD74" s="68" t="str">
        <x:v>9563811.35008514</x:v>
      </x:c>
      <x:c r="AE74" s="68" t="str">
        <x:v>10328916.258091949</x:v>
      </x:c>
      <x:c r="AF74" s="68" t="str">
        <x:v>-13540694.911508221</x:v>
      </x:c>
      <x:c r="AG74" s="68" t="str">
        <x:v>-1169408.572812613</x:v>
      </x:c>
      <x:c r="AH74" s="70" t="str">
        <x:v>104000000.0</x:v>
      </x:c>
      <x:c r="AI74" s="70" t="str">
        <x:v>7000000.0</x:v>
      </x:c>
      <x:c r="AJ74" s="70" t="str">
        <x:v>630000000.0</x:v>
      </x:c>
      <x:c r="AK74" s="68" t="str">
        <x:v>299373000000.0</x:v>
      </x:c>
      <x:c r="AL74" s="66" t="str">
        <x:v>0.18613243120519987</x:v>
      </x:c>
      <x:c r="AM74" s="70" t="str">
        <x:v>49.0</x:v>
      </x:c>
      <x:c r="AN74" s="70" t="str">
        <x:v>68.0</x:v>
      </x:c>
      <x:c r="AO74" s="66" t="str">
        <x:v>72.05882352941177</x:v>
      </x:c>
      <x:c r="AP74" s="14" t="str">
        <x:v>Medium</x:v>
      </x:c>
      <x:c r="AQ74" s="47" t="str">
        <x:v>Issuer facility-to-FEMA county match</x:v>
      </x:c>
      <x:c r="AR74" s="66" t="str">
        <x:v>0.18613243120519987</x:v>
      </x:c>
      <x:c r="AS74" s="66" t="str">
        <x:v>7.164771051868868</x:v>
      </x:c>
      <x:c r="AT74" s="66" t="str">
        <x:v>7.579869737287252</x:v>
      </x:c>
      <x:c r="AU74" s="66" t="str">
        <x:v>5.418008975739499</x:v>
      </x:c>
      <x:c r="AV74" s="66" t="str">
        <x:v>1.7999999999999998</x:v>
      </x:c>
      <x:c r="AW74" s="72" t="str">
        <x:v>0.5</x:v>
      </x:c>
      <x:c r="AX74" s="72" t="str">
        <x:v>0.7</x:v>
      </x:c>
      <x:c r="AY74" s="72" t="str">
        <x:v>0.25</x:v>
      </x:c>
      <x:c r="AZ74" s="72" t="str">
        <x:v>0.0015</x:v>
      </x:c>
      <x:c r="BA74" s="72" t="str">
        <x:v>0.05</x:v>
      </x:c>
      <x:c r="BB74" s="72" t="str">
        <x:v>0.27</x:v>
      </x:c>
      <x:c r="BC74" s="72" t="str">
        <x:v>0.7</x:v>
      </x:c>
      <x:c r="BD74" s="72" t="str">
        <x:v>0.05</x:v>
      </x:c>
      <x:c r="BE74" s="72" t="str">
        <x:v>0.15</x:v>
      </x:c>
      <x:c r="BF74" s="14" t="str">
        <x:v>0.7</x:v>
      </x:c>
      <x:c r="BG74" s="72" t="str">
        <x:v>0.35</x:v>
      </x:c>
      <x:c r="BH74" s="74" t="str">
        <x:v>1.0456609582451413</x:v>
      </x:c>
      <x:c r="BI74" s="47" t="str">
        <x:v>Common scenario elasticity + issuer SEC CapEx/CFO dependency scale</x:v>
      </x:c>
      <x:c r="BJ74" s="47" t="str">
        <x:v>Modeled estimate using observed inputs + disclosed assumptions</x:v>
      </x:c>
      <x:c r="BK74" s="14" t="str">
        <x:v>False</x:v>
      </x:c>
      <x:c r="BL74" s="14" t="str">
        <x:v>False</x:v>
      </x:c>
      <x:c r="BM74" s="14" t="str">
        <x:v>False</x:v>
      </x:c>
      <x:c r="BN74" s="47" t="str">
        <x:v>Conditional scenario sensitivity; not a forecast or probability</x:v>
      </x:c>
      <x:c r="BO74" s="66" t="str">
        <x:v>101.76597498700994</x:v>
      </x:c>
    </x:row>
    <x:row r="75">
      <x:c r="A75" s="14" t="str">
        <x:v>XOM</x:v>
      </x:c>
      <x:c r="B75" s="14" t="str">
        <x:v>Energy</x:v>
      </x:c>
      <x:c r="C75" s="14" t="str">
        <x:v>below2c_vs_cp</x:v>
      </x:c>
      <x:c r="D75" s="47" t="str">
        <x:v>Below 2°C vs Current Policies</x:v>
      </x:c>
      <x:c r="E75" s="14" t="str">
        <x:v>Below 2°C vs CP</x:v>
      </x:c>
      <x:c r="F75" s="14" t="str">
        <x:v>below_2c</x:v>
      </x:c>
      <x:c r="G75" s="14" t="str">
        <x:v>current_policies</x:v>
      </x:c>
      <x:c r="H75" s="14" t="str">
        <x:v>2050</x:v>
      </x:c>
      <x:c r="I75" s="14" t="str">
        <x:v>base</x:v>
      </x:c>
      <x:c r="J75" s="14" t="str">
        <x:v>True</x:v>
      </x:c>
      <x:c r="K75" s="14" t="str">
        <x:v>CFP-2026-003-R17-20260804T234500Z</x:v>
      </x:c>
      <x:c r="L7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5" s="66" t="str">
        <x:v>-6.493744910939403</x:v>
      </x:c>
      <x:c r="N75" s="68" t="str">
        <x:v>667438688216.532</x:v>
      </x:c>
      <x:c r="O75" s="68" t="str">
        <x:v>624096922366.8302</x:v>
      </x:c>
      <x:c r="P75" s="68" t="str">
        <x:v>36852965864.99589</x:v>
      </x:c>
      <x:c r="Q75" s="68" t="str">
        <x:v>34411101363.28512</x:v>
      </x:c>
      <x:c r="R75" s="68" t="str">
        <x:v>-2441864501.7107697</x:v>
      </x:c>
      <x:c r="S75" s="68" t="str">
        <x:v>24046905786.56586</x:v>
      </x:c>
      <x:c r="T75" s="66" t="str">
        <x:v>6.736808061729123</x:v>
      </x:c>
      <x:c r="U75" s="66" t="str">
        <x:v>-0.11051221309618464</x:v>
      </x:c>
      <x:c r="V75" s="66" t="str">
        <x:v>-0.1254793149894169</x:v>
      </x:c>
      <x:c r="W75" s="68" t="str">
        <x:v>2530508648.512083</x:v>
      </x:c>
      <x:c r="X75" s="68" t="str">
        <x:v>-41511069.996898174</x:v>
      </x:c>
      <x:c r="Y75" s="68" t="str">
        <x:v>-47133076.80441654</x:v>
      </x:c>
      <x:c r="Z75" s="66" t="str">
        <x:v>-6.660041219521791</x:v>
      </x:c>
      <x:c r="AA75" s="66" t="str">
        <x:v>0.07996289131649319</x:v>
      </x:c>
      <x:c r="AB75" s="66" t="str">
        <x:v>0.08633341726589219</x:v>
      </x:c>
      <x:c r="AC75" s="68" t="str">
        <x:v>2392045986.5956798</x:v>
      </x:c>
      <x:c r="AD75" s="68" t="str">
        <x:v>80501547.62581612</x:v>
      </x:c>
      <x:c r="AE75" s="68" t="str">
        <x:v>57961114.29058761</x:v>
      </x:c>
      <x:c r="AF75" s="68" t="str">
        <x:v>-37613041.42085616</x:v>
      </x:c>
      <x:c r="AG75" s="68" t="str">
        <x:v>-3898028.576042041</x:v>
      </x:c>
      <x:c r="AH75" s="70" t="str">
        <x:v>104000000.0</x:v>
      </x:c>
      <x:c r="AI75" s="70" t="str">
        <x:v>7000000.0</x:v>
      </x:c>
      <x:c r="AJ75" s="70" t="str">
        <x:v>630000000.0</x:v>
      </x:c>
      <x:c r="AK75" s="68" t="str">
        <x:v>299373000000.0</x:v>
      </x:c>
      <x:c r="AL75" s="66" t="str">
        <x:v>0.18613243120519987</x:v>
      </x:c>
      <x:c r="AM75" s="70" t="str">
        <x:v>49.0</x:v>
      </x:c>
      <x:c r="AN75" s="70" t="str">
        <x:v>68.0</x:v>
      </x:c>
      <x:c r="AO75" s="66" t="str">
        <x:v>72.05882352941177</x:v>
      </x:c>
      <x:c r="AP75" s="14" t="str">
        <x:v>Medium</x:v>
      </x:c>
      <x:c r="AQ75" s="47" t="str">
        <x:v>Issuer facility-to-FEMA county match</x:v>
      </x:c>
      <x:c r="AR75" s="66" t="str">
        <x:v>0.18613243120519987</x:v>
      </x:c>
      <x:c r="AS75" s="66" t="str">
        <x:v>7.164771051868868</x:v>
      </x:c>
      <x:c r="AT75" s="66" t="str">
        <x:v>7.579869737287252</x:v>
      </x:c>
      <x:c r="AU75" s="66" t="str">
        <x:v>5.418008975739499</x:v>
      </x:c>
      <x:c r="AV75" s="66" t="str">
        <x:v>1.7999999999999998</x:v>
      </x:c>
      <x:c r="AW75" s="72" t="str">
        <x:v>0.75</x:v>
      </x:c>
      <x:c r="AX75" s="72" t="str">
        <x:v>0.5</x:v>
      </x:c>
      <x:c r="AY75" s="72" t="str">
        <x:v>0.5</x:v>
      </x:c>
      <x:c r="AZ75" s="72" t="str">
        <x:v>0.003</x:v>
      </x:c>
      <x:c r="BA75" s="72" t="str">
        <x:v>0.03</x:v>
      </x:c>
      <x:c r="BB75" s="72" t="str">
        <x:v>0.45</x:v>
      </x:c>
      <x:c r="BC75" s="72" t="str">
        <x:v>0.5</x:v>
      </x:c>
      <x:c r="BD75" s="72" t="str">
        <x:v>0.1</x:v>
      </x:c>
      <x:c r="BE75" s="72" t="str">
        <x:v>0.25</x:v>
      </x:c>
      <x:c r="BF75" s="14" t="str">
        <x:v>0.7</x:v>
      </x:c>
      <x:c r="BG75" s="72" t="str">
        <x:v>0.6</x:v>
      </x:c>
      <x:c r="BH75" s="74" t="str">
        <x:v>1.0456609582451413</x:v>
      </x:c>
      <x:c r="BI75" s="47" t="str">
        <x:v>Common scenario elasticity + issuer SEC CapEx/CFO dependency scale</x:v>
      </x:c>
      <x:c r="BJ75" s="47" t="str">
        <x:v>Modeled estimate using observed inputs + disclosed assumptions</x:v>
      </x:c>
      <x:c r="BK75" s="14" t="str">
        <x:v>False</x:v>
      </x:c>
      <x:c r="BL75" s="14" t="str">
        <x:v>False</x:v>
      </x:c>
      <x:c r="BM75" s="14" t="str">
        <x:v>False</x:v>
      </x:c>
      <x:c r="BN75" s="47" t="str">
        <x:v>Conditional scenario sensitivity; not a forecast or probability</x:v>
      </x:c>
      <x:c r="BO75" s="66" t="str">
        <x:v>106.9447171258804</x:v>
      </x:c>
    </x:row>
    <x:row r="76">
      <x:c r="A76" s="14" t="str">
        <x:v>XOM</x:v>
      </x:c>
      <x:c r="B76" s="14" t="str">
        <x:v>Energy</x:v>
      </x:c>
      <x:c r="C76" s="14" t="str">
        <x:v>below2c_vs_cp</x:v>
      </x:c>
      <x:c r="D76" s="47" t="str">
        <x:v>Below 2°C vs Current Policies</x:v>
      </x:c>
      <x:c r="E76" s="14" t="str">
        <x:v>Below 2°C vs CP</x:v>
      </x:c>
      <x:c r="F76" s="14" t="str">
        <x:v>below_2c</x:v>
      </x:c>
      <x:c r="G76" s="14" t="str">
        <x:v>current_policies</x:v>
      </x:c>
      <x:c r="H76" s="14" t="str">
        <x:v>2050</x:v>
      </x:c>
      <x:c r="I76" s="14" t="str">
        <x:v>high</x:v>
      </x:c>
      <x:c r="J76" s="14" t="str">
        <x:v>True</x:v>
      </x:c>
      <x:c r="K76" s="14" t="str">
        <x:v>CFP-2026-003-R17-20260804T234500Z</x:v>
      </x:c>
      <x:c r="L7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6" s="66" t="str">
        <x:v>-18.538500278864255</x:v>
      </x:c>
      <x:c r="N76" s="68" t="str">
        <x:v>658363157489.7992</x:v>
      </x:c>
      <x:c r="O76" s="68" t="str">
        <x:v>536312501702.6133</x:v>
      </x:c>
      <x:c r="P76" s="68" t="str">
        <x:v>36179337989.60489</x:v>
      </x:c>
      <x:c r="Q76" s="68" t="str">
        <x:v>28258257896.450592</x:v>
      </x:c>
      <x:c r="R76" s="68" t="str">
        <x:v>-7921080093.154297</x:v>
      </x:c>
      <x:c r="S76" s="68" t="str">
        <x:v>24046905786.56586</x:v>
      </x:c>
      <x:c r="T76" s="66" t="str">
        <x:v>21.519369445654625</x:v>
      </x:c>
      <x:c r="U76" s="66" t="str">
        <x:v>-0.22246256469924106</x:v>
      </x:c>
      <x:c r="V76" s="66" t="str">
        <x:v>-0.2091321916490279</x:v>
      </x:c>
      <x:c r="W76" s="68" t="str">
        <x:v>8083197560.89041</x:v>
      </x:c>
      <x:c r="X76" s="68" t="str">
        <x:v>-83562339.72875261</x:v>
      </x:c>
      <x:c r="Y76" s="68" t="str">
        <x:v>-78555128.00736082</x:v>
      </x:c>
      <x:c r="Z76" s="66" t="str">
        <x:v>-18.84564815555255</x:v>
      </x:c>
      <x:c r="AA76" s="66" t="str">
        <x:v>0.16127533883016243</x:v>
      </x:c>
      <x:c r="AB76" s="66" t="str">
        <x:v>0.14587253785813808</x:v>
      </x:c>
      <x:c r="AC76" s="68" t="str">
        <x:v>7437428526.343472</x:v>
      </x:c>
      <x:c r="AD76" s="68" t="str">
        <x:v>375447113.1086849</x:v>
      </x:c>
      <x:c r="AE76" s="68" t="str">
        <x:v>270321921.4382531</x:v>
      </x:c>
      <x:c r="AF76" s="68" t="str">
        <x:v>-71088648.28541812</x:v>
      </x:c>
      <x:c r="AG76" s="68" t="str">
        <x:v>-12473691.44333449</x:v>
      </x:c>
      <x:c r="AH76" s="70" t="str">
        <x:v>104000000.0</x:v>
      </x:c>
      <x:c r="AI76" s="70" t="str">
        <x:v>7000000.0</x:v>
      </x:c>
      <x:c r="AJ76" s="70" t="str">
        <x:v>630000000.0</x:v>
      </x:c>
      <x:c r="AK76" s="68" t="str">
        <x:v>299373000000.0</x:v>
      </x:c>
      <x:c r="AL76" s="66" t="str">
        <x:v>0.18613243120519987</x:v>
      </x:c>
      <x:c r="AM76" s="70" t="str">
        <x:v>49.0</x:v>
      </x:c>
      <x:c r="AN76" s="70" t="str">
        <x:v>68.0</x:v>
      </x:c>
      <x:c r="AO76" s="66" t="str">
        <x:v>72.05882352941177</x:v>
      </x:c>
      <x:c r="AP76" s="14" t="str">
        <x:v>Medium</x:v>
      </x:c>
      <x:c r="AQ76" s="47" t="str">
        <x:v>Issuer facility-to-FEMA county match</x:v>
      </x:c>
      <x:c r="AR76" s="66" t="str">
        <x:v>0.18613243120519987</x:v>
      </x:c>
      <x:c r="AS76" s="66" t="str">
        <x:v>7.164771051868868</x:v>
      </x:c>
      <x:c r="AT76" s="66" t="str">
        <x:v>7.579869737287252</x:v>
      </x:c>
      <x:c r="AU76" s="66" t="str">
        <x:v>5.418008975739499</x:v>
      </x:c>
      <x:c r="AV76" s="66" t="str">
        <x:v>1.7999999999999998</x:v>
      </x:c>
      <x:c r="AW76" s="72" t="str">
        <x:v>1.0</x:v>
      </x:c>
      <x:c r="AX76" s="72" t="str">
        <x:v>0.3</x:v>
      </x:c>
      <x:c r="AY76" s="72" t="str">
        <x:v>0.75</x:v>
      </x:c>
      <x:c r="AZ76" s="72" t="str">
        <x:v>0.006</x:v>
      </x:c>
      <x:c r="BA76" s="72" t="str">
        <x:v>0.01</x:v>
      </x:c>
      <x:c r="BB76" s="72" t="str">
        <x:v>0.6075</x:v>
      </x:c>
      <x:c r="BC76" s="72" t="str">
        <x:v>0.3</x:v>
      </x:c>
      <x:c r="BD76" s="72" t="str">
        <x:v>0.2</x:v>
      </x:c>
      <x:c r="BE76" s="72" t="str">
        <x:v>0.4</x:v>
      </x:c>
      <x:c r="BF76" s="14" t="str">
        <x:v>0.7</x:v>
      </x:c>
      <x:c r="BG76" s="72" t="str">
        <x:v>1.0</x:v>
      </x:c>
      <x:c r="BH76" s="74" t="str">
        <x:v>1.0456609582451413</x:v>
      </x:c>
      <x:c r="BI76" s="47" t="str">
        <x:v>Common scenario elasticity + issuer SEC CapEx/CFO dependency scale</x:v>
      </x:c>
      <x:c r="BJ76" s="47" t="str">
        <x:v>Modeled estimate using observed inputs + disclosed assumptions</x:v>
      </x:c>
      <x:c r="BK76" s="14" t="str">
        <x:v>False</x:v>
      </x:c>
      <x:c r="BL76" s="14" t="str">
        <x:v>False</x:v>
      </x:c>
      <x:c r="BM76" s="14" t="str">
        <x:v>False</x:v>
      </x:c>
      <x:c r="BN76" s="47" t="str">
        <x:v>Conditional scenario sensitivity; not a forecast or probability</x:v>
      </x:c>
      <x:c r="BO76" s="66" t="str">
        <x:v>122.7573766040724</x:v>
      </x:c>
    </x:row>
    <x:row r="77">
      <x:c r="A77" s="14" t="str">
        <x:v>AAPL</x:v>
      </x:c>
      <x:c r="B77" s="14" t="str">
        <x:v>Technology</x:v>
      </x:c>
      <x:c r="C77" s="14" t="str">
        <x:v>cp_vs_delayed</x:v>
      </x:c>
      <x:c r="D77" s="47" t="str">
        <x:v>Current Policies vs Delayed Transition</x:v>
      </x:c>
      <x:c r="E77" s="14" t="str">
        <x:v>CP vs delayed</x:v>
      </x:c>
      <x:c r="F77" s="14" t="str">
        <x:v>current_policies</x:v>
      </x:c>
      <x:c r="G77" s="14" t="str">
        <x:v>delayed_transition</x:v>
      </x:c>
      <x:c r="H77" s="14" t="str">
        <x:v>2050</x:v>
      </x:c>
      <x:c r="I77" s="14" t="str">
        <x:v>low</x:v>
      </x:c>
      <x:c r="J77" s="14" t="str">
        <x:v>True</x:v>
      </x:c>
      <x:c r="K77" s="14" t="str">
        <x:v>CFP-2026-003-R17-20260804T234500Z</x:v>
      </x:c>
      <x:c r="L7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7" s="66" t="str">
        <x:v>0.49606247798952285</x:v>
      </x:c>
      <x:c r="N77" s="68" t="str">
        <x:v>1500275994658.9102</x:v>
      </x:c>
      <x:c r="O77" s="68" t="str">
        <x:v>1507718300934.697</x:v>
      </x:c>
      <x:c r="P77" s="68" t="str">
        <x:v>187777642270.58337</x:v>
      </x:c>
      <x:c r="Q77" s="68" t="str">
        <x:v>189627574241.53833</x:v>
      </x:c>
      <x:c r="R77" s="68" t="str">
        <x:v>1849931970.954956</x:v>
      </x:c>
      <x:c r="S77" s="68" t="str">
        <x:v>102784466009.31221</x:v>
      </x:c>
      <x:c r="T77" s="66" t="str">
        <x:v>-0.006262035327662516</x:v>
      </x:c>
      <x:c r="U77" s="66" t="str">
        <x:v>0.0025933532817954616</x:v>
      </x:c>
      <x:c r="V77" s="66" t="str">
        <x:v>-0.9671355016953409</x:v>
      </x:c>
      <x:c r="W77" s="68" t="str">
        <x:v>-11932725.00253293</x:v>
      </x:c>
      <x:c r="X77" s="68" t="str">
        <x:v>4941807.24426429</x:v>
      </x:c>
      <x:c r="Y77" s="68" t="str">
        <x:v>-1842941053.1966875</x:v>
      </x:c>
      <x:c r="Z77" s="66" t="str">
        <x:v>0.0027842204636089603</x:v>
      </x:c>
      <x:c r="AA77" s="66" t="str">
        <x:v>-0.0008324295340987251</x:v>
      </x:c>
      <x:c r="AB77" s="66" t="str">
        <x:v>0.49411068706000694</x:v>
      </x:c>
      <x:c r="AC77" s="68" t="str">
        <x:v>-1838750.5621880596</x:v>
      </x:c>
      <x:c r="AD77" s="68" t="str">
        <x:v>-27481.326337049803</x:v>
      </x:c>
      <x:c r="AE77" s="68" t="str">
        <x:v>-10066493.11400782</x:v>
      </x:c>
      <x:c r="AF77" s="68" t="str">
        <x:v>244986.4484182417</x:v>
      </x:c>
      <x:c r="AG77" s="68" t="str">
        <x:v>4696820.795846045</x:v>
      </x:c>
      <x:c r="AH77" s="70" t="str">
        <x:v>55200.0</x:v>
      </x:c>
      <x:c r="AI77" s="70" t="str">
        <x:v>3300.0</x:v>
      </x:c>
      <x:c r="AJ77" s="70" t="str">
        <x:v>15110000.0</x:v>
      </x:c>
      <x:c r="AK77" s="68" t="str">
        <x:v>50159000000.0</x:v>
      </x:c>
      <x:c r="AL77" s="66" t="str">
        <x:v>0.18089619337783003</x:v>
      </x:c>
      <x:c r="AM77" s="70" t="str">
        <x:v>0.0</x:v>
      </x:c>
      <x:c r="AN77" s="70" t="str">
        <x:v>0.0</x:v>
      </x:c>
      <x:c r="AO77" s="66" t="str"/>
      <x:c r="AP77" s="14" t="str">
        <x:v>Unverified</x:v>
      </x:c>
      <x:c r="AQ77" s="47" t="str">
        <x:v>Proxy fallback; no issuer facilities in governed match file</x:v>
      </x:c>
      <x:c r="AR77" s="66" t="str"/>
      <x:c r="AS77" s="66" t="str">
        <x:v>7.579869737287252</x:v>
      </x:c>
      <x:c r="AT77" s="66" t="str">
        <x:v>7.251231109814821</x:v>
      </x:c>
      <x:c r="AU77" s="66" t="str">
        <x:v>9.468635607765986</x:v>
      </x:c>
      <x:c r="AV77" s="66" t="str">
        <x:v>2.5</x:v>
      </x:c>
      <x:c r="AW77" s="72" t="str">
        <x:v>0.5</x:v>
      </x:c>
      <x:c r="AX77" s="72" t="str">
        <x:v>0.7</x:v>
      </x:c>
      <x:c r="AY77" s="72" t="str">
        <x:v>0.25</x:v>
      </x:c>
      <x:c r="AZ77" s="72" t="str">
        <x:v>0.01</x:v>
      </x:c>
      <x:c r="BA77" s="72" t="str">
        <x:v>0.05</x:v>
      </x:c>
      <x:c r="BB77" s="72" t="str">
        <x:v>0.06</x:v>
      </x:c>
      <x:c r="BC77" s="72" t="str">
        <x:v>0.7</x:v>
      </x:c>
      <x:c r="BD77" s="72" t="str">
        <x:v>0.05</x:v>
      </x:c>
      <x:c r="BE77" s="72" t="str">
        <x:v>0.15</x:v>
      </x:c>
      <x:c r="BF77" s="14" t="str">
        <x:v>1.0</x:v>
      </x:c>
      <x:c r="BG77" s="72" t="str">
        <x:v>0.35</x:v>
      </x:c>
      <x:c r="BH77" s="74" t="str">
        <x:v>0.6140542867906926</x:v>
      </x:c>
      <x:c r="BI77" s="47" t="str">
        <x:v>Common scenario elasticity + issuer SEC CapEx/CFO dependency scale</x:v>
      </x:c>
      <x:c r="BJ77" s="47" t="str">
        <x:v>Modeled estimate using observed inputs + disclosed assumptions</x:v>
      </x:c>
      <x:c r="BK77" s="14" t="str">
        <x:v>False</x:v>
      </x:c>
      <x:c r="BL77" s="14" t="str">
        <x:v>False</x:v>
      </x:c>
      <x:c r="BM77" s="14" t="str">
        <x:v>False</x:v>
      </x:c>
      <x:c r="BN77" s="47" t="str">
        <x:v>Conditional scenario sensitivity; not a forecast or probability</x:v>
      </x:c>
      <x:c r="BO77" s="66" t="str">
        <x:v>99.50638615508129</x:v>
      </x:c>
    </x:row>
    <x:row r="78">
      <x:c r="A78" s="14" t="str">
        <x:v>AAPL</x:v>
      </x:c>
      <x:c r="B78" s="14" t="str">
        <x:v>Technology</x:v>
      </x:c>
      <x:c r="C78" s="14" t="str">
        <x:v>cp_vs_delayed</x:v>
      </x:c>
      <x:c r="D78" s="47" t="str">
        <x:v>Current Policies vs Delayed Transition</x:v>
      </x:c>
      <x:c r="E78" s="14" t="str">
        <x:v>CP vs delayed</x:v>
      </x:c>
      <x:c r="F78" s="14" t="str">
        <x:v>current_policies</x:v>
      </x:c>
      <x:c r="G78" s="14" t="str">
        <x:v>delayed_transition</x:v>
      </x:c>
      <x:c r="H78" s="14" t="str">
        <x:v>2050</x:v>
      </x:c>
      <x:c r="I78" s="14" t="str">
        <x:v>base</x:v>
      </x:c>
      <x:c r="J78" s="14" t="str">
        <x:v>True</x:v>
      </x:c>
      <x:c r="K78" s="14" t="str">
        <x:v>CFP-2026-003-R17-20260804T234500Z</x:v>
      </x:c>
      <x:c r="L7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8" s="66" t="str">
        <x:v>0.863604956260744</x:v>
      </x:c>
      <x:c r="N78" s="68" t="str">
        <x:v>1490584796962.4043</x:v>
      </x:c>
      <x:c r="O78" s="68" t="str">
        <x:v>1503457561146.2407</x:v>
      </x:c>
      <x:c r="P78" s="68" t="str">
        <x:v>185579249975.9262</x:v>
      </x:c>
      <x:c r="Q78" s="68" t="str">
        <x:v>188786699408.97568</x:v>
      </x:c>
      <x:c r="R78" s="68" t="str">
        <x:v>3207449433.049469</x:v>
      </x:c>
      <x:c r="S78" s="68" t="str">
        <x:v>102784466009.31221</x:v>
      </x:c>
      <x:c r="T78" s="66" t="str">
        <x:v>-0.03382642332831928</x:v>
      </x:c>
      <x:c r="U78" s="66" t="str">
        <x:v>0.008573086730567005</x:v>
      </x:c>
      <x:c r="V78" s="66" t="str">
        <x:v>-1.6579465743348707</x:v>
      </x:c>
      <x:c r="W78" s="68" t="str">
        <x:v>-64458500.51548165</x:v>
      </x:c>
      <x:c r="X78" s="68" t="str">
        <x:v>16336587.231759787</x:v>
      </x:c>
      <x:c r="Y78" s="68" t="str">
        <x:v>-3159327519.765751</x:v>
      </x:c>
      <x:c r="Z78" s="66" t="str">
        <x:v>0.013799808362023193</x:v>
      </x:c>
      <x:c r="AA78" s="66" t="str">
        <x:v>-0.002748910858662231</x:v>
      </x:c>
      <x:c r="AB78" s="66" t="str">
        <x:v>0.8525540587573799</x:v>
      </x:c>
      <x:c r="AC78" s="68" t="str">
        <x:v>-7738665.085267524</x:v>
      </x:c>
      <x:c r="AD78" s="68" t="str">
        <x:v>-231318.79330962707</x:v>
      </x:c>
      <x:c r="AE78" s="68" t="str">
        <x:v>-56488516.6369045</x:v>
      </x:c>
      <x:c r="AF78" s="68" t="str">
        <x:v>680517.9122728934</x:v>
      </x:c>
      <x:c r="AG78" s="68" t="str">
        <x:v>15656069.319486856</x:v>
      </x:c>
      <x:c r="AH78" s="70" t="str">
        <x:v>55200.0</x:v>
      </x:c>
      <x:c r="AI78" s="70" t="str">
        <x:v>3300.0</x:v>
      </x:c>
      <x:c r="AJ78" s="70" t="str">
        <x:v>15110000.0</x:v>
      </x:c>
      <x:c r="AK78" s="68" t="str">
        <x:v>50159000000.0</x:v>
      </x:c>
      <x:c r="AL78" s="66" t="str">
        <x:v>0.18089619337783003</x:v>
      </x:c>
      <x:c r="AM78" s="70" t="str">
        <x:v>0.0</x:v>
      </x:c>
      <x:c r="AN78" s="70" t="str">
        <x:v>0.0</x:v>
      </x:c>
      <x:c r="AO78" s="66" t="str"/>
      <x:c r="AP78" s="14" t="str">
        <x:v>Unverified</x:v>
      </x:c>
      <x:c r="AQ78" s="47" t="str">
        <x:v>Proxy fallback; no issuer facilities in governed match file</x:v>
      </x:c>
      <x:c r="AR78" s="66" t="str"/>
      <x:c r="AS78" s="66" t="str">
        <x:v>7.579869737287252</x:v>
      </x:c>
      <x:c r="AT78" s="66" t="str">
        <x:v>7.251231109814821</x:v>
      </x:c>
      <x:c r="AU78" s="66" t="str">
        <x:v>9.468635607765986</x:v>
      </x:c>
      <x:c r="AV78" s="66" t="str">
        <x:v>2.5</x:v>
      </x:c>
      <x:c r="AW78" s="72" t="str">
        <x:v>0.75</x:v>
      </x:c>
      <x:c r="AX78" s="72" t="str">
        <x:v>0.5</x:v>
      </x:c>
      <x:c r="AY78" s="72" t="str">
        <x:v>0.5</x:v>
      </x:c>
      <x:c r="AZ78" s="72" t="str">
        <x:v>0.02</x:v>
      </x:c>
      <x:c r="BA78" s="72" t="str">
        <x:v>0.03</x:v>
      </x:c>
      <x:c r="BB78" s="72" t="str">
        <x:v>0.1</x:v>
      </x:c>
      <x:c r="BC78" s="72" t="str">
        <x:v>0.5</x:v>
      </x:c>
      <x:c r="BD78" s="72" t="str">
        <x:v>0.1</x:v>
      </x:c>
      <x:c r="BE78" s="72" t="str">
        <x:v>0.25</x:v>
      </x:c>
      <x:c r="BF78" s="14" t="str">
        <x:v>1.0</x:v>
      </x:c>
      <x:c r="BG78" s="72" t="str">
        <x:v>0.6</x:v>
      </x:c>
      <x:c r="BH78" s="74" t="str">
        <x:v>0.6140542867906926</x:v>
      </x:c>
      <x:c r="BI78" s="47" t="str">
        <x:v>Common scenario elasticity + issuer SEC CapEx/CFO dependency scale</x:v>
      </x:c>
      <x:c r="BJ78" s="47" t="str">
        <x:v>Modeled estimate using observed inputs + disclosed assumptions</x:v>
      </x:c>
      <x:c r="BK78" s="14" t="str">
        <x:v>False</x:v>
      </x:c>
      <x:c r="BL78" s="14" t="str">
        <x:v>False</x:v>
      </x:c>
      <x:c r="BM78" s="14" t="str">
        <x:v>False</x:v>
      </x:c>
      <x:c r="BN78" s="47" t="str">
        <x:v>Conditional scenario sensitivity; not a forecast or probability</x:v>
      </x:c>
      <x:c r="BO78" s="66" t="str">
        <x:v>99.14378932159401</x:v>
      </x:c>
    </x:row>
    <x:row r="79">
      <x:c r="A79" s="14" t="str">
        <x:v>AAPL</x:v>
      </x:c>
      <x:c r="B79" s="14" t="str">
        <x:v>Technology</x:v>
      </x:c>
      <x:c r="C79" s="14" t="str">
        <x:v>cp_vs_delayed</x:v>
      </x:c>
      <x:c r="D79" s="47" t="str">
        <x:v>Current Policies vs Delayed Transition</x:v>
      </x:c>
      <x:c r="E79" s="14" t="str">
        <x:v>CP vs delayed</x:v>
      </x:c>
      <x:c r="F79" s="14" t="str">
        <x:v>current_policies</x:v>
      </x:c>
      <x:c r="G79" s="14" t="str">
        <x:v>delayed_transition</x:v>
      </x:c>
      <x:c r="H79" s="14" t="str">
        <x:v>2050</x:v>
      </x:c>
      <x:c r="I79" s="14" t="str">
        <x:v>high</x:v>
      </x:c>
      <x:c r="J79" s="14" t="str">
        <x:v>True</x:v>
      </x:c>
      <x:c r="K79" s="14" t="str">
        <x:v>CFP-2026-003-R17-20260804T234500Z</x:v>
      </x:c>
      <x:c r="L7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79" s="66" t="str">
        <x:v>1.488301174739215</x:v>
      </x:c>
      <x:c r="N79" s="68" t="str">
        <x:v>1471816546074.698</x:v>
      </x:c>
      <x:c r="O79" s="68" t="str">
        <x:v>1493721609019.9338</x:v>
      </x:c>
      <x:c r="P79" s="68" t="str">
        <x:v>181548789081.93512</x:v>
      </x:c>
      <x:c r="Q79" s="68" t="str">
        <x:v>187051543444.54913</x:v>
      </x:c>
      <x:c r="R79" s="68" t="str">
        <x:v>5502754362.614014</x:v>
      </x:c>
      <x:c r="S79" s="68" t="str">
        <x:v>102784466009.31221</x:v>
      </x:c>
      <x:c r="T79" s="66" t="str">
        <x:v>-0.15144792413089214</x:v>
      </x:c>
      <x:c r="U79" s="66" t="str">
        <x:v>0.026966048970493643</x:v>
      </x:c>
      <x:c r="V79" s="66" t="str">
        <x:v>-2.763244290558118</x:v>
      </x:c>
      <x:c r="W79" s="68" t="str">
        <x:v>-288594097.01429945</x:v>
      </x:c>
      <x:c r="X79" s="68" t="str">
        <x:v>51385600.67655349</x:v>
      </x:c>
      <x:c r="Y79" s="68" t="str">
        <x:v>-5265545866.276251</x:v>
      </x:c>
      <x:c r="Z79" s="66" t="str">
        <x:v>0.057875978671518995</x:v>
      </x:c>
      <x:c r="AA79" s="66" t="str">
        <x:v>-0.008617509312878444</x:v>
      </x:c>
      <x:c r="AB79" s="66" t="str">
        <x:v>1.4390427053805723</x:v>
      </x:c>
      <x:c r="AC79" s="68" t="str">
        <x:v>-24061313.529719945</x:v>
      </x:c>
      <x:c r="AD79" s="68" t="str">
        <x:v>-1078836.0685879868</x:v>
      </x:c>
      <x:c r="AE79" s="68" t="str">
        <x:v>-263453947.41599154</x:v>
      </x:c>
      <x:c r="AF79" s="68" t="str">
        <x:v>1286178.854195768</x:v>
      </x:c>
      <x:c r="AG79" s="68" t="str">
        <x:v>50099421.822357655</x:v>
      </x:c>
      <x:c r="AH79" s="70" t="str">
        <x:v>55200.0</x:v>
      </x:c>
      <x:c r="AI79" s="70" t="str">
        <x:v>3300.0</x:v>
      </x:c>
      <x:c r="AJ79" s="70" t="str">
        <x:v>15110000.0</x:v>
      </x:c>
      <x:c r="AK79" s="68" t="str">
        <x:v>50159000000.0</x:v>
      </x:c>
      <x:c r="AL79" s="66" t="str">
        <x:v>0.18089619337783003</x:v>
      </x:c>
      <x:c r="AM79" s="70" t="str">
        <x:v>0.0</x:v>
      </x:c>
      <x:c r="AN79" s="70" t="str">
        <x:v>0.0</x:v>
      </x:c>
      <x:c r="AO79" s="66" t="str"/>
      <x:c r="AP79" s="14" t="str">
        <x:v>Unverified</x:v>
      </x:c>
      <x:c r="AQ79" s="47" t="str">
        <x:v>Proxy fallback; no issuer facilities in governed match file</x:v>
      </x:c>
      <x:c r="AR79" s="66" t="str"/>
      <x:c r="AS79" s="66" t="str">
        <x:v>7.579869737287252</x:v>
      </x:c>
      <x:c r="AT79" s="66" t="str">
        <x:v>7.251231109814821</x:v>
      </x:c>
      <x:c r="AU79" s="66" t="str">
        <x:v>9.468635607765986</x:v>
      </x:c>
      <x:c r="AV79" s="66" t="str">
        <x:v>2.5</x:v>
      </x:c>
      <x:c r="AW79" s="72" t="str">
        <x:v>1.0</x:v>
      </x:c>
      <x:c r="AX79" s="72" t="str">
        <x:v>0.3</x:v>
      </x:c>
      <x:c r="AY79" s="72" t="str">
        <x:v>0.75</x:v>
      </x:c>
      <x:c r="AZ79" s="72" t="str">
        <x:v>0.04</x:v>
      </x:c>
      <x:c r="BA79" s="72" t="str">
        <x:v>0.01</x:v>
      </x:c>
      <x:c r="BB79" s="72" t="str">
        <x:v>0.135</x:v>
      </x:c>
      <x:c r="BC79" s="72" t="str">
        <x:v>0.3</x:v>
      </x:c>
      <x:c r="BD79" s="72" t="str">
        <x:v>0.2</x:v>
      </x:c>
      <x:c r="BE79" s="72" t="str">
        <x:v>0.4</x:v>
      </x:c>
      <x:c r="BF79" s="14" t="str">
        <x:v>1.0</x:v>
      </x:c>
      <x:c r="BG79" s="72" t="str">
        <x:v>1.0</x:v>
      </x:c>
      <x:c r="BH79" s="74" t="str">
        <x:v>0.6140542867906926</x:v>
      </x:c>
      <x:c r="BI79" s="47" t="str">
        <x:v>Common scenario elasticity + issuer SEC CapEx/CFO dependency scale</x:v>
      </x:c>
      <x:c r="BJ79" s="47" t="str">
        <x:v>Modeled estimate using observed inputs + disclosed assumptions</x:v>
      </x:c>
      <x:c r="BK79" s="14" t="str">
        <x:v>False</x:v>
      </x:c>
      <x:c r="BL79" s="14" t="str">
        <x:v>False</x:v>
      </x:c>
      <x:c r="BM79" s="14" t="str">
        <x:v>False</x:v>
      </x:c>
      <x:c r="BN79" s="47" t="str">
        <x:v>Conditional scenario sensitivity; not a forecast or probability</x:v>
      </x:c>
      <x:c r="BO79" s="66" t="str">
        <x:v>98.53352439885981</x:v>
      </x:c>
    </x:row>
    <x:row r="80">
      <x:c r="A80" s="14" t="str">
        <x:v>CAT</x:v>
      </x:c>
      <x:c r="B80" s="14" t="str">
        <x:v>Industrials</x:v>
      </x:c>
      <x:c r="C80" s="14" t="str">
        <x:v>cp_vs_delayed</x:v>
      </x:c>
      <x:c r="D80" s="47" t="str">
        <x:v>Current Policies vs Delayed Transition</x:v>
      </x:c>
      <x:c r="E80" s="14" t="str">
        <x:v>CP vs delayed</x:v>
      </x:c>
      <x:c r="F80" s="14" t="str">
        <x:v>current_policies</x:v>
      </x:c>
      <x:c r="G80" s="14" t="str">
        <x:v>delayed_transition</x:v>
      </x:c>
      <x:c r="H80" s="14" t="str">
        <x:v>2050</x:v>
      </x:c>
      <x:c r="I80" s="14" t="str">
        <x:v>low</x:v>
      </x:c>
      <x:c r="J80" s="14" t="str">
        <x:v>True</x:v>
      </x:c>
      <x:c r="K80" s="14" t="str">
        <x:v>CFP-2026-003-R17-20260804T234500Z</x:v>
      </x:c>
      <x:c r="L8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0" s="66" t="str">
        <x:v>0.9246069176182425</x:v>
      </x:c>
      <x:c r="N80" s="68" t="str">
        <x:v>120185444088.99571</x:v>
      </x:c>
      <x:c r="O80" s="68" t="str">
        <x:v>121296687019.01277</x:v>
      </x:c>
      <x:c r="P80" s="68" t="str">
        <x:v>17796960768.484154</x:v>
      </x:c>
      <x:c r="Q80" s="68" t="str">
        <x:v>18219673443.99643</x:v>
      </x:c>
      <x:c r="R80" s="68" t="str">
        <x:v>422712675.5122757</x:v>
      </x:c>
      <x:c r="S80" s="68" t="str">
        <x:v>10636693843.707409</x:v>
      </x:c>
      <x:c r="T80" s="66" t="str">
        <x:v>-1.1437415827317983</x:v>
      </x:c>
      <x:c r="U80" s="66" t="str">
        <x:v>0.0031621982225963686</x:v>
      </x:c>
      <x:c r="V80" s="66" t="str">
        <x:v>-1.1659883720930233</x:v>
      </x:c>
      <x:c r="W80" s="68" t="str">
        <x:v>-209607570.8798617</x:v>
      </x:c>
      <x:c r="X80" s="68" t="str">
        <x:v>579519.6205911394</x:v>
      </x:c>
      <x:c r="Y80" s="68" t="str">
        <x:v>-213684624.25300622</x:v>
      </x:c>
      <x:c r="Z80" s="66" t="str">
        <x:v>0.41069150404037275</x:v>
      </x:c>
      <x:c r="AA80" s="66" t="str">
        <x:v>-0.0009269334197565003</x:v>
      </x:c>
      <x:c r="AB80" s="66" t="str">
        <x:v>0.5148423469976262</x:v>
      </x:c>
      <x:c r="AC80" s="68" t="str">
        <x:v>-22651275.041447114</x:v>
      </x:c>
      <x:c r="AD80" s="68" t="str">
        <x:v>-5746095.506837686</x:v>
      </x:c>
      <x:c r="AE80" s="68" t="str">
        <x:v>-181210200.3315769</x:v>
      </x:c>
      <x:c r="AF80" s="68" t="str">
        <x:v>127810.43137076392</x:v>
      </x:c>
      <x:c r="AG80" s="68" t="str">
        <x:v>451709.1892203763</x:v>
      </x:c>
      <x:c r="AH80" s="70" t="str">
        <x:v>680000.0</x:v>
      </x:c>
      <x:c r="AI80" s="70" t="str">
        <x:v>690000.0</x:v>
      </x:c>
      <x:c r="AJ80" s="70" t="str">
        <x:v>680000000.0</x:v>
      </x:c>
      <x:c r="AK80" s="68" t="str">
        <x:v>15140000000.0</x:v>
      </x:c>
      <x:c r="AL80" s="66" t="str">
        <x:v>0.1250652491518801</x:v>
      </x:c>
      <x:c r="AM80" s="70" t="str">
        <x:v>7.0</x:v>
      </x:c>
      <x:c r="AN80" s="70" t="str">
        <x:v>7.0</x:v>
      </x:c>
      <x:c r="AO80" s="66" t="str">
        <x:v>100.0</x:v>
      </x:c>
      <x:c r="AP80" s="14" t="str">
        <x:v>High</x:v>
      </x:c>
      <x:c r="AQ80" s="47" t="str">
        <x:v>Issuer facility-to-FEMA county match</x:v>
      </x:c>
      <x:c r="AR80" s="66" t="str">
        <x:v>0.1250652491518801</x:v>
      </x:c>
      <x:c r="AS80" s="66" t="str">
        <x:v>7.579869737287252</x:v>
      </x:c>
      <x:c r="AT80" s="66" t="str">
        <x:v>7.251231109814821</x:v>
      </x:c>
      <x:c r="AU80" s="66" t="str">
        <x:v>11.136677389433892</x:v>
      </x:c>
      <x:c r="AV80" s="66" t="str">
        <x:v>2.1999999999999997</x:v>
      </x:c>
      <x:c r="AW80" s="72" t="str">
        <x:v>0.5</x:v>
      </x:c>
      <x:c r="AX80" s="72" t="str">
        <x:v>0.7</x:v>
      </x:c>
      <x:c r="AY80" s="72" t="str">
        <x:v>0.25</x:v>
      </x:c>
      <x:c r="AZ80" s="72" t="str">
        <x:v>0.004</x:v>
      </x:c>
      <x:c r="BA80" s="72" t="str">
        <x:v>0.05</x:v>
      </x:c>
      <x:c r="BB80" s="72" t="str">
        <x:v>0.15</x:v>
      </x:c>
      <x:c r="BC80" s="72" t="str">
        <x:v>0.7</x:v>
      </x:c>
      <x:c r="BD80" s="72" t="str">
        <x:v>0.05</x:v>
      </x:c>
      <x:c r="BE80" s="72" t="str">
        <x:v>0.15</x:v>
      </x:c>
      <x:c r="BF80" s="14" t="str">
        <x:v>1.0</x:v>
      </x:c>
      <x:c r="BG80" s="72" t="str">
        <x:v>0.35</x:v>
      </x:c>
      <x:c r="BH80" s="74" t="str">
        <x:v>0.7403100775193798</x:v>
      </x:c>
      <x:c r="BI80" s="47" t="str">
        <x:v>Common scenario elasticity + issuer SEC CapEx/CFO dependency scale</x:v>
      </x:c>
      <x:c r="BJ80" s="47" t="str">
        <x:v>Modeled estimate using observed inputs + disclosed assumptions</x:v>
      </x:c>
      <x:c r="BK80" s="14" t="str">
        <x:v>False</x:v>
      </x:c>
      <x:c r="BL80" s="14" t="str">
        <x:v>False</x:v>
      </x:c>
      <x:c r="BM80" s="14" t="str">
        <x:v>False</x:v>
      </x:c>
      <x:c r="BN80" s="47" t="str">
        <x:v>Conditional scenario sensitivity; not a forecast or probability</x:v>
      </x:c>
      <x:c r="BO80" s="66" t="str">
        <x:v>99.08386374160172</x:v>
      </x:c>
    </x:row>
    <x:row r="81">
      <x:c r="A81" s="14" t="str">
        <x:v>CAT</x:v>
      </x:c>
      <x:c r="B81" s="14" t="str">
        <x:v>Industrials</x:v>
      </x:c>
      <x:c r="C81" s="14" t="str">
        <x:v>cp_vs_delayed</x:v>
      </x:c>
      <x:c r="D81" s="47" t="str">
        <x:v>Current Policies vs Delayed Transition</x:v>
      </x:c>
      <x:c r="E81" s="14" t="str">
        <x:v>CP vs delayed</x:v>
      </x:c>
      <x:c r="F81" s="14" t="str">
        <x:v>current_policies</x:v>
      </x:c>
      <x:c r="G81" s="14" t="str">
        <x:v>delayed_transition</x:v>
      </x:c>
      <x:c r="H81" s="14" t="str">
        <x:v>2050</x:v>
      </x:c>
      <x:c r="I81" s="14" t="str">
        <x:v>base</x:v>
      </x:c>
      <x:c r="J81" s="14" t="str">
        <x:v>True</x:v>
      </x:c>
      <x:c r="K81" s="14" t="str">
        <x:v>CFP-2026-003-R17-20260804T234500Z</x:v>
      </x:c>
      <x:c r="L8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1" s="66" t="str">
        <x:v>2.977112816608085</x:v>
      </x:c>
      <x:c r="N81" s="68" t="str">
        <x:v>117440083188.48146</x:v>
      </x:c>
      <x:c r="O81" s="68" t="str">
        <x:v>120936406956.92093</x:v>
      </x:c>
      <x:c r="P81" s="68" t="str">
        <x:v>16598427479.85918</x:v>
      </x:c>
      <x:c r="Q81" s="68" t="str">
        <x:v>18123449359.74854</x:v>
      </x:c>
      <x:c r="R81" s="68" t="str">
        <x:v>1525021879.8893585</x:v>
      </x:c>
      <x:c r="S81" s="68" t="str">
        <x:v>10636693843.707409</x:v>
      </x:c>
      <x:c r="T81" s="66" t="str">
        <x:v>-6.332727921134795</x:v>
      </x:c>
      <x:c r="U81" s="66" t="str">
        <x:v>0.010153211566125043</x:v>
      </x:c>
      <x:c r="V81" s="66" t="str">
        <x:v>-1.9988372093023257</x:v>
      </x:c>
      <x:c r="W81" s="68" t="str">
        <x:v>-1160566107.4433513</x:v>
      </x:c>
      <x:c r="X81" s="68" t="str">
        <x:v>1860726.273431152</x:v>
      </x:c>
      <x:c r="Y81" s="68" t="str">
        <x:v>-366316498.71943927</x:v>
      </x:c>
      <x:c r="Z81" s="66" t="str">
        <x:v>2.076844133508161</x:v>
      </x:c>
      <x:c r="AA81" s="66" t="str">
        <x:v>-0.0029501609966661783</x:v>
      </x:c>
      <x:c r="AB81" s="66" t="str">
        <x:v>0.9032188440965809</x:v>
      </x:c>
      <x:c r="AC81" s="68" t="str">
        <x:v>-95331381.48517965</x:v>
      </x:c>
      <x:c r="AD81" s="68" t="str">
        <x:v>-48366656.78292203</x:v>
      </x:c>
      <x:c r="AE81" s="68" t="str">
        <x:v>-1016868069.1752496</x:v>
      </x:c>
      <x:c r="AF81" s="68" t="str">
        <x:v>355028.97602989967</x:v>
      </x:c>
      <x:c r="AG81" s="68" t="str">
        <x:v>1505697.2974012569</x:v>
      </x:c>
      <x:c r="AH81" s="70" t="str">
        <x:v>680000.0</x:v>
      </x:c>
      <x:c r="AI81" s="70" t="str">
        <x:v>690000.0</x:v>
      </x:c>
      <x:c r="AJ81" s="70" t="str">
        <x:v>680000000.0</x:v>
      </x:c>
      <x:c r="AK81" s="68" t="str">
        <x:v>15140000000.0</x:v>
      </x:c>
      <x:c r="AL81" s="66" t="str">
        <x:v>0.1250652491518801</x:v>
      </x:c>
      <x:c r="AM81" s="70" t="str">
        <x:v>7.0</x:v>
      </x:c>
      <x:c r="AN81" s="70" t="str">
        <x:v>7.0</x:v>
      </x:c>
      <x:c r="AO81" s="66" t="str">
        <x:v>100.0</x:v>
      </x:c>
      <x:c r="AP81" s="14" t="str">
        <x:v>High</x:v>
      </x:c>
      <x:c r="AQ81" s="47" t="str">
        <x:v>Issuer facility-to-FEMA county match</x:v>
      </x:c>
      <x:c r="AR81" s="66" t="str">
        <x:v>0.1250652491518801</x:v>
      </x:c>
      <x:c r="AS81" s="66" t="str">
        <x:v>7.579869737287252</x:v>
      </x:c>
      <x:c r="AT81" s="66" t="str">
        <x:v>7.251231109814821</x:v>
      </x:c>
      <x:c r="AU81" s="66" t="str">
        <x:v>11.136677389433892</x:v>
      </x:c>
      <x:c r="AV81" s="66" t="str">
        <x:v>2.1999999999999997</x:v>
      </x:c>
      <x:c r="AW81" s="72" t="str">
        <x:v>0.75</x:v>
      </x:c>
      <x:c r="AX81" s="72" t="str">
        <x:v>0.5</x:v>
      </x:c>
      <x:c r="AY81" s="72" t="str">
        <x:v>0.5</x:v>
      </x:c>
      <x:c r="AZ81" s="72" t="str">
        <x:v>0.008</x:v>
      </x:c>
      <x:c r="BA81" s="72" t="str">
        <x:v>0.03</x:v>
      </x:c>
      <x:c r="BB81" s="72" t="str">
        <x:v>0.25</x:v>
      </x:c>
      <x:c r="BC81" s="72" t="str">
        <x:v>0.5</x:v>
      </x:c>
      <x:c r="BD81" s="72" t="str">
        <x:v>0.1</x:v>
      </x:c>
      <x:c r="BE81" s="72" t="str">
        <x:v>0.25</x:v>
      </x:c>
      <x:c r="BF81" s="14" t="str">
        <x:v>1.0</x:v>
      </x:c>
      <x:c r="BG81" s="72" t="str">
        <x:v>0.6</x:v>
      </x:c>
      <x:c r="BH81" s="74" t="str">
        <x:v>0.7403100775193798</x:v>
      </x:c>
      <x:c r="BI81" s="47" t="str">
        <x:v>Common scenario elasticity + issuer SEC CapEx/CFO dependency scale</x:v>
      </x:c>
      <x:c r="BJ81" s="47" t="str">
        <x:v>Modeled estimate using observed inputs + disclosed assumptions</x:v>
      </x:c>
      <x:c r="BK81" s="14" t="str">
        <x:v>False</x:v>
      </x:c>
      <x:c r="BL81" s="14" t="str">
        <x:v>False</x:v>
      </x:c>
      <x:c r="BM81" s="14" t="str">
        <x:v>False</x:v>
      </x:c>
      <x:c r="BN81" s="47" t="str">
        <x:v>Conditional scenario sensitivity; not a forecast or probability</x:v>
      </x:c>
      <x:c r="BO81" s="66" t="str">
        <x:v>97.10895680100295</x:v>
      </x:c>
    </x:row>
    <x:row r="82">
      <x:c r="A82" s="14" t="str">
        <x:v>CAT</x:v>
      </x:c>
      <x:c r="B82" s="14" t="str">
        <x:v>Industrials</x:v>
      </x:c>
      <x:c r="C82" s="14" t="str">
        <x:v>cp_vs_delayed</x:v>
      </x:c>
      <x:c r="D82" s="47" t="str">
        <x:v>Current Policies vs Delayed Transition</x:v>
      </x:c>
      <x:c r="E82" s="14" t="str">
        <x:v>CP vs delayed</x:v>
      </x:c>
      <x:c r="F82" s="14" t="str">
        <x:v>current_policies</x:v>
      </x:c>
      <x:c r="G82" s="14" t="str">
        <x:v>delayed_transition</x:v>
      </x:c>
      <x:c r="H82" s="14" t="str">
        <x:v>2050</x:v>
      </x:c>
      <x:c r="I82" s="14" t="str">
        <x:v>high</x:v>
      </x:c>
      <x:c r="J82" s="14" t="str">
        <x:v>True</x:v>
      </x:c>
      <x:c r="K82" s="14" t="str">
        <x:v>CFP-2026-003-R17-20260804T234500Z</x:v>
      </x:c>
      <x:c r="L8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2" s="66" t="str">
        <x:v>10.89093935842822</x:v>
      </x:c>
      <x:c r="N82" s="68" t="str">
        <x:v>108315424337.9862</x:v>
      </x:c>
      <x:c r="O82" s="68" t="str">
        <x:v>120111991518.46048</x:v>
      </x:c>
      <x:c r="P82" s="68" t="str">
        <x:v>12055800626.071152</x:v>
      </x:c>
      <x:c r="Q82" s="68" t="str">
        <x:v>17925340955.849358</x:v>
      </x:c>
      <x:c r="R82" s="68" t="str">
        <x:v>5869540329.778206</x:v>
      </x:c>
      <x:c r="S82" s="68" t="str">
        <x:v>10636693843.707409</x:v>
      </x:c>
      <x:c r="T82" s="66" t="str">
        <x:v>-28.726204412880023</x:v>
      </x:c>
      <x:c r="U82" s="66" t="str">
        <x:v>0.02995248490969849</x:v>
      </x:c>
      <x:c r="V82" s="66" t="str">
        <x:v>-3.3313953488372094</x:v>
      </x:c>
      <x:c r="W82" s="68" t="str">
        <x:v>-5264502068.028853</x:v>
      </x:c>
      <x:c r="X82" s="68" t="str">
        <x:v>5489236.116380528</x:v>
      </x:c>
      <x:c r="Y82" s="68" t="str">
        <x:v>-610527497.8657321</x:v>
      </x:c>
      <x:c r="Z82" s="66" t="str">
        <x:v>9.267491680189757</x:v>
      </x:c>
      <x:c r="AA82" s="66" t="str">
        <x:v>-0.008731315603266678</x:v>
      </x:c>
      <x:c r="AB82" s="66" t="str">
        <x:v>1.632178993841726</x:v>
      </x:c>
      <x:c r="AC82" s="68" t="str">
        <x:v>-296407485.5110429</x:v>
      </x:c>
      <x:c r="AD82" s="68" t="str">
        <x:v>-225574814.3411245</x:v>
      </x:c>
      <x:c r="AE82" s="68" t="str">
        <x:v>-4742519768.176686</x:v>
      </x:c>
      <x:c r="AF82" s="68" t="str">
        <x:v>671004.7646965105</x:v>
      </x:c>
      <x:c r="AG82" s="68" t="str">
        <x:v>4818231.351684019</x:v>
      </x:c>
      <x:c r="AH82" s="70" t="str">
        <x:v>680000.0</x:v>
      </x:c>
      <x:c r="AI82" s="70" t="str">
        <x:v>690000.0</x:v>
      </x:c>
      <x:c r="AJ82" s="70" t="str">
        <x:v>680000000.0</x:v>
      </x:c>
      <x:c r="AK82" s="68" t="str">
        <x:v>15140000000.0</x:v>
      </x:c>
      <x:c r="AL82" s="66" t="str">
        <x:v>0.1250652491518801</x:v>
      </x:c>
      <x:c r="AM82" s="70" t="str">
        <x:v>7.0</x:v>
      </x:c>
      <x:c r="AN82" s="70" t="str">
        <x:v>7.0</x:v>
      </x:c>
      <x:c r="AO82" s="66" t="str">
        <x:v>100.0</x:v>
      </x:c>
      <x:c r="AP82" s="14" t="str">
        <x:v>High</x:v>
      </x:c>
      <x:c r="AQ82" s="47" t="str">
        <x:v>Issuer facility-to-FEMA county match</x:v>
      </x:c>
      <x:c r="AR82" s="66" t="str">
        <x:v>0.1250652491518801</x:v>
      </x:c>
      <x:c r="AS82" s="66" t="str">
        <x:v>7.579869737287252</x:v>
      </x:c>
      <x:c r="AT82" s="66" t="str">
        <x:v>7.251231109814821</x:v>
      </x:c>
      <x:c r="AU82" s="66" t="str">
        <x:v>11.136677389433892</x:v>
      </x:c>
      <x:c r="AV82" s="66" t="str">
        <x:v>2.1999999999999997</x:v>
      </x:c>
      <x:c r="AW82" s="72" t="str">
        <x:v>1.0</x:v>
      </x:c>
      <x:c r="AX82" s="72" t="str">
        <x:v>0.3</x:v>
      </x:c>
      <x:c r="AY82" s="72" t="str">
        <x:v>0.75</x:v>
      </x:c>
      <x:c r="AZ82" s="72" t="str">
        <x:v>0.016</x:v>
      </x:c>
      <x:c r="BA82" s="72" t="str">
        <x:v>0.01</x:v>
      </x:c>
      <x:c r="BB82" s="72" t="str">
        <x:v>0.3375</x:v>
      </x:c>
      <x:c r="BC82" s="72" t="str">
        <x:v>0.3</x:v>
      </x:c>
      <x:c r="BD82" s="72" t="str">
        <x:v>0.2</x:v>
      </x:c>
      <x:c r="BE82" s="72" t="str">
        <x:v>0.4</x:v>
      </x:c>
      <x:c r="BF82" s="14" t="str">
        <x:v>1.0</x:v>
      </x:c>
      <x:c r="BG82" s="72" t="str">
        <x:v>1.0</x:v>
      </x:c>
      <x:c r="BH82" s="74" t="str">
        <x:v>0.7403100775193798</x:v>
      </x:c>
      <x:c r="BI82" s="47" t="str">
        <x:v>Common scenario elasticity + issuer SEC CapEx/CFO dependency scale</x:v>
      </x:c>
      <x:c r="BJ82" s="47" t="str">
        <x:v>Modeled estimate using observed inputs + disclosed assumptions</x:v>
      </x:c>
      <x:c r="BK82" s="14" t="str">
        <x:v>False</x:v>
      </x:c>
      <x:c r="BL82" s="14" t="str">
        <x:v>False</x:v>
      </x:c>
      <x:c r="BM82" s="14" t="str">
        <x:v>False</x:v>
      </x:c>
      <x:c r="BN82" s="47" t="str">
        <x:v>Conditional scenario sensitivity; not a forecast or probability</x:v>
      </x:c>
      <x:c r="BO82" s="66" t="str">
        <x:v>90.17869320844521</x:v>
      </x:c>
    </x:row>
    <x:row r="83">
      <x:c r="A83" s="14" t="str">
        <x:v>CVX</x:v>
      </x:c>
      <x:c r="B83" s="14" t="str">
        <x:v>Energy</x:v>
      </x:c>
      <x:c r="C83" s="14" t="str">
        <x:v>cp_vs_delayed</x:v>
      </x:c>
      <x:c r="D83" s="47" t="str">
        <x:v>Current Policies vs Delayed Transition</x:v>
      </x:c>
      <x:c r="E83" s="14" t="str">
        <x:v>CP vs delayed</x:v>
      </x:c>
      <x:c r="F83" s="14" t="str">
        <x:v>current_policies</x:v>
      </x:c>
      <x:c r="G83" s="14" t="str">
        <x:v>delayed_transition</x:v>
      </x:c>
      <x:c r="H83" s="14" t="str">
        <x:v>2050</x:v>
      </x:c>
      <x:c r="I83" s="14" t="str">
        <x:v>low</x:v>
      </x:c>
      <x:c r="J83" s="14" t="str">
        <x:v>True</x:v>
      </x:c>
      <x:c r="K83" s="14" t="str">
        <x:v>CFP-2026-003-R17-20260804T234500Z</x:v>
      </x:c>
      <x:c r="L8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3" s="66" t="str">
        <x:v>4.729285303407393</x:v>
      </x:c>
      <x:c r="N83" s="68" t="str">
        <x:v>357397825485.27893</x:v>
      </x:c>
      <x:c r="O83" s="68" t="str">
        <x:v>374300188320.6518</x:v>
      </x:c>
      <x:c r="P83" s="68" t="str">
        <x:v>25743379529.47386</x:v>
      </x:c>
      <x:c r="Q83" s="68" t="str">
        <x:v>28060765134.98977</x:v>
      </x:c>
      <x:c r="R83" s="68" t="str">
        <x:v>2317385605.5159073</x:v>
      </x:c>
      <x:c r="S83" s="68" t="str">
        <x:v>18142230456.32</x:v>
      </x:c>
      <x:c r="T83" s="66" t="str">
        <x:v>-6.617228772041149</x:v>
      </x:c>
      <x:c r="U83" s="66" t="str">
        <x:v>0.03238624148409155</x:v>
      </x:c>
      <x:c r="V83" s="66" t="str">
        <x:v>-1.59251856271546</x:v>
      </x:c>
      <x:c r="W83" s="68" t="str">
        <x:v>-1875259087.8430977</x:v>
      </x:c>
      <x:c r="X83" s="68" t="str">
        <x:v>9177949.827083014</x:v>
      </x:c>
      <x:c r="Y83" s="68" t="str">
        <x:v>-451304467.4998919</x:v>
      </x:c>
      <x:c r="Z83" s="66" t="str">
        <x:v>3.7409918864762406</x:v>
      </x:c>
      <x:c r="AA83" s="66" t="str">
        <x:v>-0.021920507135148107</x:v>
      </x:c>
      <x:c r="AB83" s="66" t="str">
        <x:v>1.0102139240662897</x:v>
      </x:c>
      <x:c r="AC83" s="68" t="str">
        <x:v>-1798777723.8796234</x:v>
      </x:c>
      <x:c r="AD83" s="68" t="str">
        <x:v>-33310698.5903634</x:v>
      </x:c>
      <x:c r="AE83" s="68" t="str">
        <x:v>-43170665.37311096</x:v>
      </x:c>
      <x:c r="AF83" s="68" t="str">
        <x:v>8479452.09410318</x:v>
      </x:c>
      <x:c r="AG83" s="68" t="str">
        <x:v>698497.7329798378</x:v>
      </x:c>
      <x:c r="AH83" s="70" t="str">
        <x:v>54000000.0</x:v>
      </x:c>
      <x:c r="AI83" s="70" t="str">
        <x:v>4000000.0</x:v>
      </x:c>
      <x:c r="AJ83" s="70" t="str">
        <x:v>432000000.0</x:v>
      </x:c>
      <x:c r="AK83" s="68" t="str">
        <x:v>219729000000.0</x:v>
      </x:c>
      <x:c r="AL83" s="66" t="str">
        <x:v>0.31761728843062803</x:v>
      </x:c>
      <x:c r="AM83" s="70" t="str">
        <x:v>34.0</x:v>
      </x:c>
      <x:c r="AN83" s="70" t="str">
        <x:v>53.0</x:v>
      </x:c>
      <x:c r="AO83" s="66" t="str">
        <x:v>64.15094339622641</x:v>
      </x:c>
      <x:c r="AP83" s="14" t="str">
        <x:v>Medium</x:v>
      </x:c>
      <x:c r="AQ83" s="47" t="str">
        <x:v>Issuer facility-to-FEMA county match</x:v>
      </x:c>
      <x:c r="AR83" s="66" t="str">
        <x:v>0.31761728843062803</x:v>
      </x:c>
      <x:c r="AS83" s="66" t="str">
        <x:v>7.579869737287252</x:v>
      </x:c>
      <x:c r="AT83" s="66" t="str">
        <x:v>7.251231109814821</x:v>
      </x:c>
      <x:c r="AU83" s="66" t="str">
        <x:v>6.7034090248596065</x:v>
      </x:c>
      <x:c r="AV83" s="66" t="str">
        <x:v>1.7999999999999998</x:v>
      </x:c>
      <x:c r="AW83" s="72" t="str">
        <x:v>0.5</x:v>
      </x:c>
      <x:c r="AX83" s="72" t="str">
        <x:v>0.7</x:v>
      </x:c>
      <x:c r="AY83" s="72" t="str">
        <x:v>0.25</x:v>
      </x:c>
      <x:c r="AZ83" s="72" t="str">
        <x:v>0.0015</x:v>
      </x:c>
      <x:c r="BA83" s="72" t="str">
        <x:v>0.05</x:v>
      </x:c>
      <x:c r="BB83" s="72" t="str">
        <x:v>0.27</x:v>
      </x:c>
      <x:c r="BC83" s="72" t="str">
        <x:v>0.7</x:v>
      </x:c>
      <x:c r="BD83" s="72" t="str">
        <x:v>0.05</x:v>
      </x:c>
      <x:c r="BE83" s="72" t="str">
        <x:v>0.15</x:v>
      </x:c>
      <x:c r="BF83" s="14" t="str">
        <x:v>1.0</x:v>
      </x:c>
      <x:c r="BG83" s="72" t="str">
        <x:v>0.35</x:v>
      </x:c>
      <x:c r="BH83" s="74" t="str">
        <x:v>1.0111228969621968</x:v>
      </x:c>
      <x:c r="BI83" s="47" t="str">
        <x:v>Common scenario elasticity + issuer SEC CapEx/CFO dependency scale</x:v>
      </x:c>
      <x:c r="BJ83" s="47" t="str">
        <x:v>Modeled estimate using observed inputs + disclosed assumptions</x:v>
      </x:c>
      <x:c r="BK83" s="14" t="str">
        <x:v>False</x:v>
      </x:c>
      <x:c r="BL83" s="14" t="str">
        <x:v>False</x:v>
      </x:c>
      <x:c r="BM83" s="14" t="str">
        <x:v>False</x:v>
      </x:c>
      <x:c r="BN83" s="47" t="str">
        <x:v>Conditional scenario sensitivity; not a forecast or probability</x:v>
      </x:c>
      <x:c r="BO83" s="66" t="str">
        <x:v>95.4842761604776</x:v>
      </x:c>
    </x:row>
    <x:row r="84">
      <x:c r="A84" s="14" t="str">
        <x:v>CVX</x:v>
      </x:c>
      <x:c r="B84" s="14" t="str">
        <x:v>Energy</x:v>
      </x:c>
      <x:c r="C84" s="14" t="str">
        <x:v>cp_vs_delayed</x:v>
      </x:c>
      <x:c r="D84" s="47" t="str">
        <x:v>Current Policies vs Delayed Transition</x:v>
      </x:c>
      <x:c r="E84" s="14" t="str">
        <x:v>CP vs delayed</x:v>
      </x:c>
      <x:c r="F84" s="14" t="str">
        <x:v>current_policies</x:v>
      </x:c>
      <x:c r="G84" s="14" t="str">
        <x:v>delayed_transition</x:v>
      </x:c>
      <x:c r="H84" s="14" t="str">
        <x:v>2050</x:v>
      </x:c>
      <x:c r="I84" s="14" t="str">
        <x:v>base</x:v>
      </x:c>
      <x:c r="J84" s="14" t="str">
        <x:v>True</x:v>
      </x:c>
      <x:c r="K84" s="14" t="str">
        <x:v>CFP-2026-003-R17-20260804T234500Z</x:v>
      </x:c>
      <x:c r="L8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4" s="66" t="str">
        <x:v>19.298376760428205</x:v>
      </x:c>
      <x:c r="N84" s="68" t="str">
        <x:v>311537814944.1993</x:v>
      </x:c>
      <x:c r="O84" s="68" t="str">
        <x:v>371659556223.3364</x:v>
      </x:c>
      <x:c r="P84" s="68" t="str">
        <x:v>18921789899.443764</x:v>
      </x:c>
      <x:c r="Q84" s="68" t="str">
        <x:v>27762645856.760303</x:v>
      </x:c>
      <x:c r="R84" s="68" t="str">
        <x:v>8840855957.31654</x:v>
      </x:c>
      <x:c r="S84" s="68" t="str">
        <x:v>18142230456.32</x:v>
      </x:c>
      <x:c r="T84" s="66" t="str">
        <x:v>-28.558037268874763</x:v>
      </x:c>
      <x:c r="U84" s="66" t="str">
        <x:v>0.09133110951472276</x:v>
      </x:c>
      <x:c r="V84" s="66" t="str">
        <x:v>-2.730031821797932</x:v>
      </x:c>
      <x:c r="W84" s="68" t="str">
        <x:v>-8093073515.259486</x:v>
      </x:c>
      <x:c r="X84" s="68" t="str">
        <x:v>25882359.3713305</x:v>
      </x:c>
      <x:c r="Y84" s="68" t="str">
        <x:v>-773664801.4283862</x:v>
      </x:c>
      <x:c r="Z84" s="66" t="str">
        <x:v>17.382205403622063</x:v>
      </x:c>
      <x:c r="AA84" s="66" t="str">
        <x:v>-0.07055334929230579</x:v>
      </x:c>
      <x:c r="AB84" s="66" t="str">
        <x:v>1.9867247060984325</x:v>
      </x:c>
      <x:c r="AC84" s="68" t="str">
        <x:v>-7570433235.587796</x:v>
      </x:c>
      <x:c r="AD84" s="68" t="str">
        <x:v>-280386416.13288134</x:v>
      </x:c>
      <x:c r="AE84" s="68" t="str">
        <x:v>-242253863.53880945</x:v>
      </x:c>
      <x:c r="AF84" s="68" t="str">
        <x:v>23554033.594731048</x:v>
      </x:c>
      <x:c r="AG84" s="68" t="str">
        <x:v>2328325.7765994594</x:v>
      </x:c>
      <x:c r="AH84" s="70" t="str">
        <x:v>54000000.0</x:v>
      </x:c>
      <x:c r="AI84" s="70" t="str">
        <x:v>4000000.0</x:v>
      </x:c>
      <x:c r="AJ84" s="70" t="str">
        <x:v>432000000.0</x:v>
      </x:c>
      <x:c r="AK84" s="68" t="str">
        <x:v>219729000000.0</x:v>
      </x:c>
      <x:c r="AL84" s="66" t="str">
        <x:v>0.31761728843062803</x:v>
      </x:c>
      <x:c r="AM84" s="70" t="str">
        <x:v>34.0</x:v>
      </x:c>
      <x:c r="AN84" s="70" t="str">
        <x:v>53.0</x:v>
      </x:c>
      <x:c r="AO84" s="66" t="str">
        <x:v>64.15094339622641</x:v>
      </x:c>
      <x:c r="AP84" s="14" t="str">
        <x:v>Medium</x:v>
      </x:c>
      <x:c r="AQ84" s="47" t="str">
        <x:v>Issuer facility-to-FEMA county match</x:v>
      </x:c>
      <x:c r="AR84" s="66" t="str">
        <x:v>0.31761728843062803</x:v>
      </x:c>
      <x:c r="AS84" s="66" t="str">
        <x:v>7.579869737287252</x:v>
      </x:c>
      <x:c r="AT84" s="66" t="str">
        <x:v>7.251231109814821</x:v>
      </x:c>
      <x:c r="AU84" s="66" t="str">
        <x:v>6.7034090248596065</x:v>
      </x:c>
      <x:c r="AV84" s="66" t="str">
        <x:v>1.7999999999999998</x:v>
      </x:c>
      <x:c r="AW84" s="72" t="str">
        <x:v>0.75</x:v>
      </x:c>
      <x:c r="AX84" s="72" t="str">
        <x:v>0.5</x:v>
      </x:c>
      <x:c r="AY84" s="72" t="str">
        <x:v>0.5</x:v>
      </x:c>
      <x:c r="AZ84" s="72" t="str">
        <x:v>0.003</x:v>
      </x:c>
      <x:c r="BA84" s="72" t="str">
        <x:v>0.03</x:v>
      </x:c>
      <x:c r="BB84" s="72" t="str">
        <x:v>0.45</x:v>
      </x:c>
      <x:c r="BC84" s="72" t="str">
        <x:v>0.5</x:v>
      </x:c>
      <x:c r="BD84" s="72" t="str">
        <x:v>0.1</x:v>
      </x:c>
      <x:c r="BE84" s="72" t="str">
        <x:v>0.25</x:v>
      </x:c>
      <x:c r="BF84" s="14" t="str">
        <x:v>1.0</x:v>
      </x:c>
      <x:c r="BG84" s="72" t="str">
        <x:v>0.6</x:v>
      </x:c>
      <x:c r="BH84" s="74" t="str">
        <x:v>1.0111228969621968</x:v>
      </x:c>
      <x:c r="BI84" s="47" t="str">
        <x:v>Common scenario elasticity + issuer SEC CapEx/CFO dependency scale</x:v>
      </x:c>
      <x:c r="BJ84" s="47" t="str">
        <x:v>Modeled estimate using observed inputs + disclosed assumptions</x:v>
      </x:c>
      <x:c r="BK84" s="14" t="str">
        <x:v>False</x:v>
      </x:c>
      <x:c r="BL84" s="14" t="str">
        <x:v>False</x:v>
      </x:c>
      <x:c r="BM84" s="14" t="str">
        <x:v>False</x:v>
      </x:c>
      <x:c r="BN84" s="47" t="str">
        <x:v>Conditional scenario sensitivity; not a forecast or probability</x:v>
      </x:c>
      <x:c r="BO84" s="66" t="str">
        <x:v>83.82343726337311</x:v>
      </x:c>
    </x:row>
    <x:row r="85">
      <x:c r="A85" s="14" t="str">
        <x:v>CVX</x:v>
      </x:c>
      <x:c r="B85" s="14" t="str">
        <x:v>Energy</x:v>
      </x:c>
      <x:c r="C85" s="14" t="str">
        <x:v>cp_vs_delayed</x:v>
      </x:c>
      <x:c r="D85" s="47" t="str">
        <x:v>Current Policies vs Delayed Transition</x:v>
      </x:c>
      <x:c r="E85" s="14" t="str">
        <x:v>CP vs delayed</x:v>
      </x:c>
      <x:c r="F85" s="14" t="str">
        <x:v>current_policies</x:v>
      </x:c>
      <x:c r="G85" s="14" t="str">
        <x:v>delayed_transition</x:v>
      </x:c>
      <x:c r="H85" s="14" t="str">
        <x:v>2050</x:v>
      </x:c>
      <x:c r="I85" s="14" t="str">
        <x:v>high</x:v>
      </x:c>
      <x:c r="J85" s="14" t="str">
        <x:v>True</x:v>
      </x:c>
      <x:c r="K85" s="14" t="str">
        <x:v>CFP-2026-003-R17-20260804T234500Z</x:v>
      </x:c>
      <x:c r="L8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5" s="66" t="str">
        <x:v>91.04303094213518</x:v>
      </x:c>
      <x:c r="N85" s="68" t="str">
        <x:v>191969829199.67838</x:v>
      </x:c>
      <x:c r="O85" s="68" t="str">
        <x:v>366744980197.5056</x:v>
      </x:c>
      <x:c r="P85" s="68" t="str">
        <x:v>14082118.817279816</x:v>
      </x:c>
      <x:c r="Q85" s="68" t="str">
        <x:v>27227312859.984547</x:v>
      </x:c>
      <x:c r="R85" s="68" t="str">
        <x:v>27213230741.167267</x:v>
      </x:c>
      <x:c r="S85" s="68" t="str">
        <x:v>18142230456.32</x:v>
      </x:c>
      <x:c r="T85" s="66" t="str">
        <x:v>-91.66068243298592</x:v>
      </x:c>
      <x:c r="U85" s="66" t="str">
        <x:v>0.18337871203254819</x:v>
      </x:c>
      <x:c r="V85" s="66" t="str">
        <x:v>-4.550053036329885</x:v>
      </x:c>
      <x:c r="W85" s="68" t="str">
        <x:v>-25975757171.43245</x:v>
      </x:c>
      <x:c r="X85" s="68" t="str">
        <x:v>51967765.97915995</x:v>
      </x:c>
      <x:c r="Y85" s="68" t="str">
        <x:v>-1289441335.7139769</x:v>
      </x:c>
      <x:c r="Z85" s="66" t="str">
        <x:v>85.88063380512374</x:v>
      </x:c>
      <x:c r="AA85" s="66" t="str">
        <x:v>-0.19705365778911066</x:v>
      </x:c>
      <x:c r="AB85" s="66" t="str">
        <x:v>5.359450794800553</x:v>
      </x:c>
      <x:c r="AC85" s="68" t="str">
        <x:v>-23538241496.465168</x:v>
      </x:c>
      <x:c r="AD85" s="68" t="str">
        <x:v>-1307680083.1369536</x:v>
      </x:c>
      <x:c r="AE85" s="68" t="str">
        <x:v>-1129835591.830328</x:v>
      </x:c>
      <x:c r="AF85" s="68" t="str">
        <x:v>44517123.49404168</x:v>
      </x:c>
      <x:c r="AG85" s="68" t="str">
        <x:v>7450642.48511827</x:v>
      </x:c>
      <x:c r="AH85" s="70" t="str">
        <x:v>54000000.0</x:v>
      </x:c>
      <x:c r="AI85" s="70" t="str">
        <x:v>4000000.0</x:v>
      </x:c>
      <x:c r="AJ85" s="70" t="str">
        <x:v>432000000.0</x:v>
      </x:c>
      <x:c r="AK85" s="68" t="str">
        <x:v>219729000000.0</x:v>
      </x:c>
      <x:c r="AL85" s="66" t="str">
        <x:v>0.31761728843062803</x:v>
      </x:c>
      <x:c r="AM85" s="70" t="str">
        <x:v>34.0</x:v>
      </x:c>
      <x:c r="AN85" s="70" t="str">
        <x:v>53.0</x:v>
      </x:c>
      <x:c r="AO85" s="66" t="str">
        <x:v>64.15094339622641</x:v>
      </x:c>
      <x:c r="AP85" s="14" t="str">
        <x:v>Medium</x:v>
      </x:c>
      <x:c r="AQ85" s="47" t="str">
        <x:v>Issuer facility-to-FEMA county match</x:v>
      </x:c>
      <x:c r="AR85" s="66" t="str">
        <x:v>0.31761728843062803</x:v>
      </x:c>
      <x:c r="AS85" s="66" t="str">
        <x:v>7.579869737287252</x:v>
      </x:c>
      <x:c r="AT85" s="66" t="str">
        <x:v>7.251231109814821</x:v>
      </x:c>
      <x:c r="AU85" s="66" t="str">
        <x:v>6.7034090248596065</x:v>
      </x:c>
      <x:c r="AV85" s="66" t="str">
        <x:v>1.7999999999999998</x:v>
      </x:c>
      <x:c r="AW85" s="72" t="str">
        <x:v>1.0</x:v>
      </x:c>
      <x:c r="AX85" s="72" t="str">
        <x:v>0.3</x:v>
      </x:c>
      <x:c r="AY85" s="72" t="str">
        <x:v>0.75</x:v>
      </x:c>
      <x:c r="AZ85" s="72" t="str">
        <x:v>0.006</x:v>
      </x:c>
      <x:c r="BA85" s="72" t="str">
        <x:v>0.01</x:v>
      </x:c>
      <x:c r="BB85" s="72" t="str">
        <x:v>0.6075</x:v>
      </x:c>
      <x:c r="BC85" s="72" t="str">
        <x:v>0.3</x:v>
      </x:c>
      <x:c r="BD85" s="72" t="str">
        <x:v>0.2</x:v>
      </x:c>
      <x:c r="BE85" s="72" t="str">
        <x:v>0.4</x:v>
      </x:c>
      <x:c r="BF85" s="14" t="str">
        <x:v>1.0</x:v>
      </x:c>
      <x:c r="BG85" s="72" t="str">
        <x:v>1.0</x:v>
      </x:c>
      <x:c r="BH85" s="74" t="str">
        <x:v>1.0111228969621968</x:v>
      </x:c>
      <x:c r="BI85" s="47" t="str">
        <x:v>Common scenario elasticity + issuer SEC CapEx/CFO dependency scale</x:v>
      </x:c>
      <x:c r="BJ85" s="47" t="str">
        <x:v>Modeled estimate using observed inputs + disclosed assumptions</x:v>
      </x:c>
      <x:c r="BK85" s="14" t="str">
        <x:v>False</x:v>
      </x:c>
      <x:c r="BL85" s="14" t="str">
        <x:v>False</x:v>
      </x:c>
      <x:c r="BM85" s="14" t="str">
        <x:v>False</x:v>
      </x:c>
      <x:c r="BN85" s="47" t="str">
        <x:v>Conditional scenario sensitivity; not a forecast or probability</x:v>
      </x:c>
      <x:c r="BO85" s="66" t="str">
        <x:v>52.34422815993162</x:v>
      </x:c>
    </x:row>
    <x:row r="86">
      <x:c r="A86" s="14" t="str">
        <x:v>DE</x:v>
      </x:c>
      <x:c r="B86" s="14" t="str">
        <x:v>Industrials</x:v>
      </x:c>
      <x:c r="C86" s="14" t="str">
        <x:v>cp_vs_delayed</x:v>
      </x:c>
      <x:c r="D86" s="47" t="str">
        <x:v>Current Policies vs Delayed Transition</x:v>
      </x:c>
      <x:c r="E86" s="14" t="str">
        <x:v>CP vs delayed</x:v>
      </x:c>
      <x:c r="F86" s="14" t="str">
        <x:v>current_policies</x:v>
      </x:c>
      <x:c r="G86" s="14" t="str">
        <x:v>delayed_transition</x:v>
      </x:c>
      <x:c r="H86" s="14" t="str">
        <x:v>2050</x:v>
      </x:c>
      <x:c r="I86" s="14" t="str">
        <x:v>low</x:v>
      </x:c>
      <x:c r="J86" s="14" t="str">
        <x:v>True</x:v>
      </x:c>
      <x:c r="K86" s="14" t="str">
        <x:v>CFP-2026-003-R17-20260804T234500Z</x:v>
      </x:c>
      <x:c r="L8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6" s="66" t="str">
        <x:v>0.7324987745863432</x:v>
      </x:c>
      <x:c r="N86" s="68" t="str">
        <x:v>154396067845.52258</x:v>
      </x:c>
      <x:c r="O86" s="68" t="str">
        <x:v>155527017150.50055</x:v>
      </x:c>
      <x:c r="P86" s="68" t="str">
        <x:v>14596242164.648968</x:v>
      </x:c>
      <x:c r="Q86" s="68" t="str">
        <x:v>14791068126.262678</x:v>
      </x:c>
      <x:c r="R86" s="68" t="str">
        <x:v>194825961.6137104</x:v>
      </x:c>
      <x:c r="S86" s="68" t="str">
        <x:v>8631149592.456448</x:v>
      </x:c>
      <x:c r="T86" s="66" t="str">
        <x:v>-0.2382855951017935</x:v>
      </x:c>
      <x:c r="U86" s="66" t="str">
        <x:v>0.0028514052521377477</x:v>
      </x:c>
      <x:c r="V86" s="66" t="str">
        <x:v>-1.0746698619117843</x:v>
      </x:c>
      <x:c r="W86" s="68" t="str">
        <x:v>-35435521.4320455</x:v>
      </x:c>
      <x:c r="X86" s="68" t="str">
        <x:v>424033.31968267076</x:v>
      </x:c>
      <x:c r="Y86" s="68" t="str">
        <x:v>-159814473.50134754</x:v>
      </x:c>
      <x:c r="Z86" s="66" t="str">
        <x:v>0.1205923731506971</x:v>
      </x:c>
      <x:c r="AA86" s="66" t="str">
        <x:v>-0.0011840458905123575</x:v>
      </x:c>
      <x:c r="AB86" s="66" t="str">
        <x:v>0.6130904473261678</x:v>
      </x:c>
      <x:c r="AC86" s="68" t="str">
        <x:v>-11788656.231129605</x:v>
      </x:c>
      <x:c r="AD86" s="68" t="str">
        <x:v>-1865399.1210603502</x:v>
      </x:c>
      <x:c r="AE86" s="68" t="str">
        <x:v>-21781466.079855543</x:v>
      </x:c>
      <x:c r="AF86" s="68" t="str">
        <x:v>57493.712382159545</x:v>
      </x:c>
      <x:c r="AG86" s="68" t="str">
        <x:v>366539.60730051156</x:v>
      </x:c>
      <x:c r="AH86" s="70" t="str">
        <x:v>353900.0</x:v>
      </x:c>
      <x:c r="AI86" s="70" t="str">
        <x:v>224000.0</x:v>
      </x:c>
      <x:c r="AJ86" s="70" t="str">
        <x:v>81736000.0</x:v>
      </x:c>
      <x:c r="AK86" s="68" t="str">
        <x:v>8079000000.0</x:v>
      </x:c>
      <x:c r="AL86" s="66" t="str">
        <x:v>0.1054287290454164</x:v>
      </x:c>
      <x:c r="AM86" s="70" t="str">
        <x:v>1.0</x:v>
      </x:c>
      <x:c r="AN86" s="70" t="str">
        <x:v>1.0</x:v>
      </x:c>
      <x:c r="AO86" s="66" t="str">
        <x:v>100.0</x:v>
      </x:c>
      <x:c r="AP86" s="14" t="str">
        <x:v>High</x:v>
      </x:c>
      <x:c r="AQ86" s="47" t="str">
        <x:v>Issuer facility-to-FEMA county match</x:v>
      </x:c>
      <x:c r="AR86" s="66" t="str">
        <x:v>0.1054287290454164</x:v>
      </x:c>
      <x:c r="AS86" s="66" t="str">
        <x:v>7.579869737287252</x:v>
      </x:c>
      <x:c r="AT86" s="66" t="str">
        <x:v>7.251231109814821</x:v>
      </x:c>
      <x:c r="AU86" s="66" t="str">
        <x:v>7.853230639934694</x:v>
      </x:c>
      <x:c r="AV86" s="66" t="str">
        <x:v>2.1999999999999997</x:v>
      </x:c>
      <x:c r="AW86" s="72" t="str">
        <x:v>0.5</x:v>
      </x:c>
      <x:c r="AX86" s="72" t="str">
        <x:v>0.7</x:v>
      </x:c>
      <x:c r="AY86" s="72" t="str">
        <x:v>0.25</x:v>
      </x:c>
      <x:c r="AZ86" s="72" t="str">
        <x:v>0.004</x:v>
      </x:c>
      <x:c r="BA86" s="72" t="str">
        <x:v>0.05</x:v>
      </x:c>
      <x:c r="BB86" s="72" t="str">
        <x:v>0.15</x:v>
      </x:c>
      <x:c r="BC86" s="72" t="str">
        <x:v>0.7</x:v>
      </x:c>
      <x:c r="BD86" s="72" t="str">
        <x:v>0.05</x:v>
      </x:c>
      <x:c r="BE86" s="72" t="str">
        <x:v>0.15</x:v>
      </x:c>
      <x:c r="BF86" s="14" t="str">
        <x:v>1.0</x:v>
      </x:c>
      <x:c r="BG86" s="72" t="str">
        <x:v>0.35</x:v>
      </x:c>
      <x:c r="BH86" s="74" t="str">
        <x:v>0.6823300710551012</x:v>
      </x:c>
      <x:c r="BI86" s="47" t="str">
        <x:v>Common scenario elasticity + issuer SEC CapEx/CFO dependency scale</x:v>
      </x:c>
      <x:c r="BJ86" s="47" t="str">
        <x:v>Modeled estimate using observed inputs + disclosed assumptions</x:v>
      </x:c>
      <x:c r="BK86" s="14" t="str">
        <x:v>False</x:v>
      </x:c>
      <x:c r="BL86" s="14" t="str">
        <x:v>False</x:v>
      </x:c>
      <x:c r="BM86" s="14" t="str">
        <x:v>False</x:v>
      </x:c>
      <x:c r="BN86" s="47" t="str">
        <x:v>Conditional scenario sensitivity; not a forecast or probability</x:v>
      </x:c>
      <x:c r="BO86" s="66" t="str">
        <x:v>99.2728277532105</x:v>
      </x:c>
    </x:row>
    <x:row r="87">
      <x:c r="A87" s="14" t="str">
        <x:v>DE</x:v>
      </x:c>
      <x:c r="B87" s="14" t="str">
        <x:v>Industrials</x:v>
      </x:c>
      <x:c r="C87" s="14" t="str">
        <x:v>cp_vs_delayed</x:v>
      </x:c>
      <x:c r="D87" s="47" t="str">
        <x:v>Current Policies vs Delayed Transition</x:v>
      </x:c>
      <x:c r="E87" s="14" t="str">
        <x:v>CP vs delayed</x:v>
      </x:c>
      <x:c r="F87" s="14" t="str">
        <x:v>current_policies</x:v>
      </x:c>
      <x:c r="G87" s="14" t="str">
        <x:v>delayed_transition</x:v>
      </x:c>
      <x:c r="H87" s="14" t="str">
        <x:v>2050</x:v>
      </x:c>
      <x:c r="I87" s="14" t="str">
        <x:v>base</x:v>
      </x:c>
      <x:c r="J87" s="14" t="str">
        <x:v>True</x:v>
      </x:c>
      <x:c r="K87" s="14" t="str">
        <x:v>CFP-2026-003-R17-20260804T234500Z</x:v>
      </x:c>
      <x:c r="L8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7" s="66" t="str">
        <x:v>1.6599644950947345</x:v>
      </x:c>
      <x:c r="N87" s="68" t="str">
        <x:v>152491385037.67926</x:v>
      </x:c>
      <x:c r="O87" s="68" t="str">
        <x:v>155022687887.38293</x:v>
      </x:c>
      <x:c r="P87" s="68" t="str">
        <x:v>14259386163.629292</x:v>
      </x:c>
      <x:c r="Q87" s="68" t="str">
        <x:v>14719515886.594145</x:v>
      </x:c>
      <x:c r="R87" s="68" t="str">
        <x:v>460129722.9648533</x:v>
      </x:c>
      <x:c r="S87" s="68" t="str">
        <x:v>8631149592.456448</x:v>
      </x:c>
      <x:c r="T87" s="66" t="str">
        <x:v>-1.2611336425436401</x:v>
      </x:c>
      <x:c r="U87" s="66" t="str">
        <x:v>0.009289897759295578</x:v>
      </x:c>
      <x:c r="V87" s="66" t="str">
        <x:v>-1.8422911918487734</x:v>
      </x:c>
      <x:c r="W87" s="68" t="str">
        <x:v>-187543557.5530197</x:v>
      </x:c>
      <x:c r="X87" s="68" t="str">
        <x:v>1381503.4476188198</x:v>
      </x:c>
      <x:c r="Y87" s="68" t="str">
        <x:v>-273967668.85945296</x:v>
      </x:c>
      <x:c r="Z87" s="66" t="str">
        <x:v>0.5996795258775206</x:v>
      </x:c>
      <x:c r="AA87" s="66" t="str">
        <x:v>-0.0038548193345773105</x:v>
      </x:c>
      <x:c r="AB87" s="66" t="str">
        <x:v>1.0641397885517874</x:v>
      </x:c>
      <x:c r="AC87" s="68" t="str">
        <x:v>-49614376.334713355</x:v>
      </x:c>
      <x:c r="AD87" s="68" t="str">
        <x:v>-15701639.303441355</x:v>
      </x:c>
      <x:c r="AE87" s="68" t="str">
        <x:v>-122227541.91486499</x:v>
      </x:c>
      <x:c r="AF87" s="68" t="str">
        <x:v>159704.75661710987</x:v>
      </x:c>
      <x:c r="AG87" s="68" t="str">
        <x:v>1221798.6910017096</x:v>
      </x:c>
      <x:c r="AH87" s="70" t="str">
        <x:v>353900.0</x:v>
      </x:c>
      <x:c r="AI87" s="70" t="str">
        <x:v>224000.0</x:v>
      </x:c>
      <x:c r="AJ87" s="70" t="str">
        <x:v>81736000.0</x:v>
      </x:c>
      <x:c r="AK87" s="68" t="str">
        <x:v>8079000000.0</x:v>
      </x:c>
      <x:c r="AL87" s="66" t="str">
        <x:v>0.1054287290454164</x:v>
      </x:c>
      <x:c r="AM87" s="70" t="str">
        <x:v>1.0</x:v>
      </x:c>
      <x:c r="AN87" s="70" t="str">
        <x:v>1.0</x:v>
      </x:c>
      <x:c r="AO87" s="66" t="str">
        <x:v>100.0</x:v>
      </x:c>
      <x:c r="AP87" s="14" t="str">
        <x:v>High</x:v>
      </x:c>
      <x:c r="AQ87" s="47" t="str">
        <x:v>Issuer facility-to-FEMA county match</x:v>
      </x:c>
      <x:c r="AR87" s="66" t="str">
        <x:v>0.1054287290454164</x:v>
      </x:c>
      <x:c r="AS87" s="66" t="str">
        <x:v>7.579869737287252</x:v>
      </x:c>
      <x:c r="AT87" s="66" t="str">
        <x:v>7.251231109814821</x:v>
      </x:c>
      <x:c r="AU87" s="66" t="str">
        <x:v>7.853230639934694</x:v>
      </x:c>
      <x:c r="AV87" s="66" t="str">
        <x:v>2.1999999999999997</x:v>
      </x:c>
      <x:c r="AW87" s="72" t="str">
        <x:v>0.75</x:v>
      </x:c>
      <x:c r="AX87" s="72" t="str">
        <x:v>0.5</x:v>
      </x:c>
      <x:c r="AY87" s="72" t="str">
        <x:v>0.5</x:v>
      </x:c>
      <x:c r="AZ87" s="72" t="str">
        <x:v>0.008</x:v>
      </x:c>
      <x:c r="BA87" s="72" t="str">
        <x:v>0.03</x:v>
      </x:c>
      <x:c r="BB87" s="72" t="str">
        <x:v>0.25</x:v>
      </x:c>
      <x:c r="BC87" s="72" t="str">
        <x:v>0.5</x:v>
      </x:c>
      <x:c r="BD87" s="72" t="str">
        <x:v>0.1</x:v>
      </x:c>
      <x:c r="BE87" s="72" t="str">
        <x:v>0.25</x:v>
      </x:c>
      <x:c r="BF87" s="14" t="str">
        <x:v>1.0</x:v>
      </x:c>
      <x:c r="BG87" s="72" t="str">
        <x:v>0.6</x:v>
      </x:c>
      <x:c r="BH87" s="74" t="str">
        <x:v>0.6823300710551012</x:v>
      </x:c>
      <x:c r="BI87" s="47" t="str">
        <x:v>Common scenario elasticity + issuer SEC CapEx/CFO dependency scale</x:v>
      </x:c>
      <x:c r="BJ87" s="47" t="str">
        <x:v>Modeled estimate using observed inputs + disclosed assumptions</x:v>
      </x:c>
      <x:c r="BK87" s="14" t="str">
        <x:v>False</x:v>
      </x:c>
      <x:c r="BL87" s="14" t="str">
        <x:v>False</x:v>
      </x:c>
      <x:c r="BM87" s="14" t="str">
        <x:v>False</x:v>
      </x:c>
      <x:c r="BN87" s="47" t="str">
        <x:v>Conditional scenario sensitivity; not a forecast or probability</x:v>
      </x:c>
      <x:c r="BO87" s="66" t="str">
        <x:v>98.36714039460949</x:v>
      </x:c>
    </x:row>
    <x:row r="88">
      <x:c r="A88" s="14" t="str">
        <x:v>DE</x:v>
      </x:c>
      <x:c r="B88" s="14" t="str">
        <x:v>Industrials</x:v>
      </x:c>
      <x:c r="C88" s="14" t="str">
        <x:v>cp_vs_delayed</x:v>
      </x:c>
      <x:c r="D88" s="47" t="str">
        <x:v>Current Policies vs Delayed Transition</x:v>
      </x:c>
      <x:c r="E88" s="14" t="str">
        <x:v>CP vs delayed</x:v>
      </x:c>
      <x:c r="F88" s="14" t="str">
        <x:v>current_policies</x:v>
      </x:c>
      <x:c r="G88" s="14" t="str">
        <x:v>delayed_transition</x:v>
      </x:c>
      <x:c r="H88" s="14" t="str">
        <x:v>2050</x:v>
      </x:c>
      <x:c r="I88" s="14" t="str">
        <x:v>high</x:v>
      </x:c>
      <x:c r="J88" s="14" t="str">
        <x:v>True</x:v>
      </x:c>
      <x:c r="K88" s="14" t="str">
        <x:v>CFP-2026-003-R17-20260804T234500Z</x:v>
      </x:c>
      <x:c r="L8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8" s="66" t="str">
        <x:v>4.2969437564325474</x:v>
      </x:c>
      <x:c r="N88" s="68" t="str">
        <x:v>147567248287.80823</x:v>
      </x:c>
      <x:c r="O88" s="68" t="str">
        <x:v>153908129949.6505</x:v>
      </x:c>
      <x:c r="P88" s="68" t="str">
        <x:v>13323807421.580072</x:v>
      </x:c>
      <x:c r="Q88" s="68" t="str">
        <x:v>14573752226.475845</x:v>
      </x:c>
      <x:c r="R88" s="68" t="str">
        <x:v>1249944804.895773</x:v>
      </x:c>
      <x:c r="S88" s="68" t="str">
        <x:v>8631149592.456448</x:v>
      </x:c>
      <x:c r="T88" s="66" t="str">
        <x:v>-5.363069279990997</x:v>
      </x:c>
      <x:c r="U88" s="66" t="str">
        <x:v>0.028320821814790866</x:v>
      </x:c>
      <x:c r="V88" s="66" t="str">
        <x:v>-3.0704853197479554</x:v>
      </x:c>
      <x:c r="W88" s="68" t="str">
        <x:v>-797543621.264563</x:v>
      </x:c>
      <x:c r="X88" s="68" t="str">
        <x:v>4211597.801211819</x:v>
      </x:c>
      <x:c r="Y88" s="68" t="str">
        <x:v>-456612781.43242157</x:v>
      </x:c>
      <x:c r="Z88" s="66" t="str">
        <x:v>2.4759863820431045</x:v>
      </x:c>
      <x:c r="AA88" s="66" t="str">
        <x:v>-0.01179065645494371</x:v>
      </x:c>
      <x:c r="AB88" s="66" t="str">
        <x:v>1.8327480308443826</x:v>
      </x:c>
      <x:c r="AC88" s="68" t="str">
        <x:v>-154262660.47405598</x:v>
      </x:c>
      <x:c r="AD88" s="68" t="str">
        <x:v>-73230084.6556694</x:v>
      </x:c>
      <x:c r="AE88" s="68" t="str">
        <x:v>-570050876.1348375</x:v>
      </x:c>
      <x:c r="AF88" s="68" t="str">
        <x:v>301841.99000633764</x:v>
      </x:c>
      <x:c r="AG88" s="68" t="str">
        <x:v>3909755.8112054765</x:v>
      </x:c>
      <x:c r="AH88" s="70" t="str">
        <x:v>353900.0</x:v>
      </x:c>
      <x:c r="AI88" s="70" t="str">
        <x:v>224000.0</x:v>
      </x:c>
      <x:c r="AJ88" s="70" t="str">
        <x:v>81736000.0</x:v>
      </x:c>
      <x:c r="AK88" s="68" t="str">
        <x:v>8079000000.0</x:v>
      </x:c>
      <x:c r="AL88" s="66" t="str">
        <x:v>0.1054287290454164</x:v>
      </x:c>
      <x:c r="AM88" s="70" t="str">
        <x:v>1.0</x:v>
      </x:c>
      <x:c r="AN88" s="70" t="str">
        <x:v>1.0</x:v>
      </x:c>
      <x:c r="AO88" s="66" t="str">
        <x:v>100.0</x:v>
      </x:c>
      <x:c r="AP88" s="14" t="str">
        <x:v>High</x:v>
      </x:c>
      <x:c r="AQ88" s="47" t="str">
        <x:v>Issuer facility-to-FEMA county match</x:v>
      </x:c>
      <x:c r="AR88" s="66" t="str">
        <x:v>0.1054287290454164</x:v>
      </x:c>
      <x:c r="AS88" s="66" t="str">
        <x:v>7.579869737287252</x:v>
      </x:c>
      <x:c r="AT88" s="66" t="str">
        <x:v>7.251231109814821</x:v>
      </x:c>
      <x:c r="AU88" s="66" t="str">
        <x:v>7.853230639934694</x:v>
      </x:c>
      <x:c r="AV88" s="66" t="str">
        <x:v>2.1999999999999997</x:v>
      </x:c>
      <x:c r="AW88" s="72" t="str">
        <x:v>1.0</x:v>
      </x:c>
      <x:c r="AX88" s="72" t="str">
        <x:v>0.3</x:v>
      </x:c>
      <x:c r="AY88" s="72" t="str">
        <x:v>0.75</x:v>
      </x:c>
      <x:c r="AZ88" s="72" t="str">
        <x:v>0.016</x:v>
      </x:c>
      <x:c r="BA88" s="72" t="str">
        <x:v>0.01</x:v>
      </x:c>
      <x:c r="BB88" s="72" t="str">
        <x:v>0.3375</x:v>
      </x:c>
      <x:c r="BC88" s="72" t="str">
        <x:v>0.3</x:v>
      </x:c>
      <x:c r="BD88" s="72" t="str">
        <x:v>0.2</x:v>
      </x:c>
      <x:c r="BE88" s="72" t="str">
        <x:v>0.4</x:v>
      </x:c>
      <x:c r="BF88" s="14" t="str">
        <x:v>1.0</x:v>
      </x:c>
      <x:c r="BG88" s="72" t="str">
        <x:v>1.0</x:v>
      </x:c>
      <x:c r="BH88" s="74" t="str">
        <x:v>0.6823300710551012</x:v>
      </x:c>
      <x:c r="BI88" s="47" t="str">
        <x:v>Common scenario elasticity + issuer SEC CapEx/CFO dependency scale</x:v>
      </x:c>
      <x:c r="BJ88" s="47" t="str">
        <x:v>Modeled estimate using observed inputs + disclosed assumptions</x:v>
      </x:c>
      <x:c r="BK88" s="14" t="str">
        <x:v>False</x:v>
      </x:c>
      <x:c r="BL88" s="14" t="str">
        <x:v>False</x:v>
      </x:c>
      <x:c r="BM88" s="14" t="str">
        <x:v>False</x:v>
      </x:c>
      <x:c r="BN88" s="47" t="str">
        <x:v>Conditional scenario sensitivity; not a forecast or probability</x:v>
      </x:c>
      <x:c r="BO88" s="66" t="str">
        <x:v>95.88008660496581</x:v>
      </x:c>
    </x:row>
    <x:row r="89">
      <x:c r="A89" s="14" t="str">
        <x:v>DUK</x:v>
      </x:c>
      <x:c r="B89" s="14" t="str">
        <x:v>Utilities</x:v>
      </x:c>
      <x:c r="C89" s="14" t="str">
        <x:v>cp_vs_delayed</x:v>
      </x:c>
      <x:c r="D89" s="47" t="str">
        <x:v>Current Policies vs Delayed Transition</x:v>
      </x:c>
      <x:c r="E89" s="14" t="str">
        <x:v>CP vs delayed</x:v>
      </x:c>
      <x:c r="F89" s="14" t="str">
        <x:v>current_policies</x:v>
      </x:c>
      <x:c r="G89" s="14" t="str">
        <x:v>delayed_transition</x:v>
      </x:c>
      <x:c r="H89" s="14" t="str">
        <x:v>2050</x:v>
      </x:c>
      <x:c r="I89" s="14" t="str">
        <x:v>low</x:v>
      </x:c>
      <x:c r="J89" s="14" t="str">
        <x:v>True</x:v>
      </x:c>
      <x:c r="K89" s="14" t="str">
        <x:v>CFP-2026-003-R17-20260804T234500Z</x:v>
      </x:c>
      <x:c r="L8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89" s="66" t="str">
        <x:v>216.23658964878607</x:v>
      </x:c>
      <x:c r="N89" s="68" t="str">
        <x:v>15549591813.004269</x:v>
      </x:c>
      <x:c r="O89" s="68" t="str">
        <x:v>49173498853.75154</x:v>
      </x:c>
      <x:c r="P89" s="68" t="str">
        <x:v>0.0</x:v>
      </x:c>
      <x:c r="Q89" s="68" t="str">
        <x:v>2448564471.432889</x:v>
      </x:c>
      <x:c r="R89" s="68" t="str">
        <x:v>2448564471.432889</x:v>
      </x:c>
      <x:c r="S89" s="68" t="str">
        <x:v>1531556722.6890755</x:v>
      </x:c>
      <x:c r="T89" s="66" t="str">
        <x:v>-105.99997836924248</x:v>
      </x:c>
      <x:c r="U89" s="66" t="str">
        <x:v>0.1619127141053902</x:v>
      </x:c>
      <x:c r="V89" s="66" t="str">
        <x:v>-2.578886861313868</x:v>
      </x:c>
      <x:c r="W89" s="68" t="str">
        <x:v>-2663441465.000877</x:v>
      </x:c>
      <x:c r="X89" s="68" t="str">
        <x:v>4068350.230760623</x:v>
      </x:c>
      <x:c r="Y89" s="68" t="str">
        <x:v>-64799203.788916856</x:v>
      </x:c>
      <x:c r="Z89" s="66" t="str">
        <x:v>212.7044195501993</x:v>
      </x:c>
      <x:c r="AA89" s="66" t="str">
        <x:v>-0.26279516212252857</x:v>
      </x:c>
      <x:c r="AB89" s="66" t="str">
        <x:v>3.7949652607092523</x:v>
      </x:c>
      <x:c r="AC89" s="68" t="str">
        <x:v>-2656728076.773023</x:v>
      </x:c>
      <x:c r="AD89" s="68" t="str">
        <x:v>-2115229.3604880758</x:v>
      </x:c>
      <x:c r="AE89" s="68" t="str">
        <x:v>-4598158.867365878</x:v>
      </x:c>
      <x:c r="AF89" s="68" t="str">
        <x:v>4006417.924673587</x:v>
      </x:c>
      <x:c r="AG89" s="68" t="str">
        <x:v>61932.30608703359</x:v>
      </x:c>
      <x:c r="AH89" s="70" t="str">
        <x:v>79756000.0</x:v>
      </x:c>
      <x:c r="AI89" s="70" t="str">
        <x:v>254000.0</x:v>
      </x:c>
      <x:c r="AJ89" s="70" t="str">
        <x:v>27607700.0</x:v>
      </x:c>
      <x:c r="AK89" s="68" t="str">
        <x:v>129959000000.0</x:v>
      </x:c>
      <x:c r="AL89" s="66" t="str">
        <x:v>0.17565995555046018</x:v>
      </x:c>
      <x:c r="AM89" s="70" t="str">
        <x:v>48.0</x:v>
      </x:c>
      <x:c r="AN89" s="70" t="str">
        <x:v>49.0</x:v>
      </x:c>
      <x:c r="AO89" s="66" t="str">
        <x:v>97.95918367346938</x:v>
      </x:c>
      <x:c r="AP89" s="14" t="str">
        <x:v>High</x:v>
      </x:c>
      <x:c r="AQ89" s="47" t="str">
        <x:v>Issuer facility-to-FEMA county match</x:v>
      </x:c>
      <x:c r="AR89" s="66" t="str">
        <x:v>0.17565995555046018</x:v>
      </x:c>
      <x:c r="AS89" s="66" t="str">
        <x:v>7.579869737287252</x:v>
      </x:c>
      <x:c r="AT89" s="66" t="str">
        <x:v>7.251231109814821</x:v>
      </x:c>
      <x:c r="AU89" s="66" t="str">
        <x:v>5.116136979477691</x:v>
      </x:c>
      <x:c r="AV89" s="66" t="str">
        <x:v>2.0</x:v>
      </x:c>
      <x:c r="AW89" s="72" t="str">
        <x:v>0.5</x:v>
      </x:c>
      <x:c r="AX89" s="72" t="str">
        <x:v>0.7</x:v>
      </x:c>
      <x:c r="AY89" s="72" t="str">
        <x:v>0.25</x:v>
      </x:c>
      <x:c r="AZ89" s="72" t="str">
        <x:v>0.0025</x:v>
      </x:c>
      <x:c r="BA89" s="72" t="str">
        <x:v>0.05</x:v>
      </x:c>
      <x:c r="BB89" s="72" t="str">
        <x:v>0.39</x:v>
      </x:c>
      <x:c r="BC89" s="72" t="str">
        <x:v>0.7</x:v>
      </x:c>
      <x:c r="BD89" s="72" t="str">
        <x:v>0.05</x:v>
      </x:c>
      <x:c r="BE89" s="72" t="str">
        <x:v>0.15</x:v>
      </x:c>
      <x:c r="BF89" s="14" t="str">
        <x:v>1.0</x:v>
      </x:c>
      <x:c r="BG89" s="72" t="str">
        <x:v>0.35</x:v>
      </x:c>
      <x:c r="BH89" s="74" t="str">
        <x:v>1.6373884833738848</x:v>
      </x:c>
      <x:c r="BI89" s="47" t="str">
        <x:v>Common scenario elasticity + issuer SEC CapEx/CFO dependency scale</x:v>
      </x:c>
      <x:c r="BJ89" s="47" t="str">
        <x:v>Modeled estimate using observed inputs + disclosed assumptions</x:v>
      </x:c>
      <x:c r="BK89" s="14" t="str">
        <x:v>False</x:v>
      </x:c>
      <x:c r="BL89" s="14" t="str">
        <x:v>False</x:v>
      </x:c>
      <x:c r="BM89" s="14" t="str">
        <x:v>True</x:v>
      </x:c>
      <x:c r="BN89" s="47" t="str">
        <x:v>Extreme relative scenario differential; denominator-sensitive</x:v>
      </x:c>
      <x:c r="BO89" s="66" t="str">
        <x:v>31.621894263108675</x:v>
      </x:c>
    </x:row>
    <x:row r="90">
      <x:c r="A90" s="14" t="str">
        <x:v>DUK</x:v>
      </x:c>
      <x:c r="B90" s="14" t="str">
        <x:v>Utilities</x:v>
      </x:c>
      <x:c r="C90" s="14" t="str">
        <x:v>cp_vs_delayed</x:v>
      </x:c>
      <x:c r="D90" s="47" t="str">
        <x:v>Current Policies vs Delayed Transition</x:v>
      </x:c>
      <x:c r="E90" s="14" t="str">
        <x:v>CP vs delayed</x:v>
      </x:c>
      <x:c r="F90" s="14" t="str">
        <x:v>current_policies</x:v>
      </x:c>
      <x:c r="G90" s="14" t="str">
        <x:v>delayed_transition</x:v>
      </x:c>
      <x:c r="H90" s="14" t="str">
        <x:v>2050</x:v>
      </x:c>
      <x:c r="I90" s="14" t="str">
        <x:v>base</x:v>
      </x:c>
      <x:c r="J90" s="14" t="str">
        <x:v>True</x:v>
      </x:c>
      <x:c r="K90" s="14" t="str">
        <x:v>CFP-2026-003-R17-20260804T234500Z</x:v>
      </x:c>
      <x:c r="L9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0" s="66" t="str">
        <x:v>425.6677462801987</x:v>
      </x:c>
      <x:c r="N90" s="68" t="str">
        <x:v>9085236698.170643</x:v>
      </x:c>
      <x:c r="O90" s="68" t="str">
        <x:v>47758158995.495155</x:v>
      </x:c>
      <x:c r="P90" s="68" t="str">
        <x:v>0.0</x:v>
      </x:c>
      <x:c r="Q90" s="68" t="str">
        <x:v>2354100065.7372284</x:v>
      </x:c>
      <x:c r="R90" s="68" t="str">
        <x:v>2354100065.7372284</x:v>
      </x:c>
      <x:c r="S90" s="68" t="str">
        <x:v>1531556722.6890755</x:v>
      </x:c>
      <x:c r="T90" s="66" t="str">
        <x:v>-446.72826200163325</x:v>
      </x:c>
      <x:c r="U90" s="66" t="str">
        <x:v>0.45112686679610786</x:v>
      </x:c>
      <x:c r="V90" s="66" t="str">
        <x:v>-4.420948905109488</x:v>
      </x:c>
      <x:c r="W90" s="68" t="str">
        <x:v>-11224856786.840387</x:v>
      </x:c>
      <x:c r="X90" s="68" t="str">
        <x:v>11335379.699938968</x:v>
      </x:c>
      <x:c r="Y90" s="68" t="str">
        <x:v>-111084349.3524289</x:v>
      </x:c>
      <x:c r="Z90" s="66" t="str">
        <x:v>417.3384095784605</x:v>
      </x:c>
      <x:c r="AA90" s="66" t="str">
        <x:v>-1.0348714345272805</x:v>
      </x:c>
      <x:c r="AB90" s="66" t="str">
        <x:v>9.36420813626534</x:v>
      </x:c>
      <x:c r="AC90" s="68" t="str">
        <x:v>-11181249502.547043</x:v>
      </x:c>
      <x:c r="AD90" s="68" t="str">
        <x:v>-17804537.424437962</x:v>
      </x:c>
      <x:c r="AE90" s="68" t="str">
        <x:v>-25802746.868905827</x:v>
      </x:c>
      <x:c r="AF90" s="68" t="str">
        <x:v>11128938.679648854</x:v>
      </x:c>
      <x:c r="AG90" s="68" t="str">
        <x:v>206441.02029011212</x:v>
      </x:c>
      <x:c r="AH90" s="70" t="str">
        <x:v>79756000.0</x:v>
      </x:c>
      <x:c r="AI90" s="70" t="str">
        <x:v>254000.0</x:v>
      </x:c>
      <x:c r="AJ90" s="70" t="str">
        <x:v>27607700.0</x:v>
      </x:c>
      <x:c r="AK90" s="68" t="str">
        <x:v>129959000000.0</x:v>
      </x:c>
      <x:c r="AL90" s="66" t="str">
        <x:v>0.17565995555046018</x:v>
      </x:c>
      <x:c r="AM90" s="70" t="str">
        <x:v>48.0</x:v>
      </x:c>
      <x:c r="AN90" s="70" t="str">
        <x:v>49.0</x:v>
      </x:c>
      <x:c r="AO90" s="66" t="str">
        <x:v>97.95918367346938</x:v>
      </x:c>
      <x:c r="AP90" s="14" t="str">
        <x:v>High</x:v>
      </x:c>
      <x:c r="AQ90" s="47" t="str">
        <x:v>Issuer facility-to-FEMA county match</x:v>
      </x:c>
      <x:c r="AR90" s="66" t="str">
        <x:v>0.17565995555046018</x:v>
      </x:c>
      <x:c r="AS90" s="66" t="str">
        <x:v>7.579869737287252</x:v>
      </x:c>
      <x:c r="AT90" s="66" t="str">
        <x:v>7.251231109814821</x:v>
      </x:c>
      <x:c r="AU90" s="66" t="str">
        <x:v>5.116136979477691</x:v>
      </x:c>
      <x:c r="AV90" s="66" t="str">
        <x:v>2.0</x:v>
      </x:c>
      <x:c r="AW90" s="72" t="str">
        <x:v>0.75</x:v>
      </x:c>
      <x:c r="AX90" s="72" t="str">
        <x:v>0.5</x:v>
      </x:c>
      <x:c r="AY90" s="72" t="str">
        <x:v>0.5</x:v>
      </x:c>
      <x:c r="AZ90" s="72" t="str">
        <x:v>0.005</x:v>
      </x:c>
      <x:c r="BA90" s="72" t="str">
        <x:v>0.03</x:v>
      </x:c>
      <x:c r="BB90" s="72" t="str">
        <x:v>0.65</x:v>
      </x:c>
      <x:c r="BC90" s="72" t="str">
        <x:v>0.5</x:v>
      </x:c>
      <x:c r="BD90" s="72" t="str">
        <x:v>0.1</x:v>
      </x:c>
      <x:c r="BE90" s="72" t="str">
        <x:v>0.25</x:v>
      </x:c>
      <x:c r="BF90" s="14" t="str">
        <x:v>1.0</x:v>
      </x:c>
      <x:c r="BG90" s="72" t="str">
        <x:v>0.6</x:v>
      </x:c>
      <x:c r="BH90" s="74" t="str">
        <x:v>1.6373884833738848</x:v>
      </x:c>
      <x:c r="BI90" s="47" t="str">
        <x:v>Common scenario elasticity + issuer SEC CapEx/CFO dependency scale</x:v>
      </x:c>
      <x:c r="BJ90" s="47" t="str">
        <x:v>Modeled estimate using observed inputs + disclosed assumptions</x:v>
      </x:c>
      <x:c r="BK90" s="14" t="str">
        <x:v>False</x:v>
      </x:c>
      <x:c r="BL90" s="14" t="str">
        <x:v>False</x:v>
      </x:c>
      <x:c r="BM90" s="14" t="str">
        <x:v>True</x:v>
      </x:c>
      <x:c r="BN90" s="47" t="str">
        <x:v>Extreme relative scenario differential; denominator-sensitive</x:v>
      </x:c>
      <x:c r="BO90" s="66" t="str">
        <x:v>19.023423199850768</x:v>
      </x:c>
    </x:row>
    <x:row r="91">
      <x:c r="A91" s="14" t="str">
        <x:v>DUK</x:v>
      </x:c>
      <x:c r="B91" s="14" t="str">
        <x:v>Utilities</x:v>
      </x:c>
      <x:c r="C91" s="14" t="str">
        <x:v>cp_vs_delayed</x:v>
      </x:c>
      <x:c r="D91" s="47" t="str">
        <x:v>Current Policies vs Delayed Transition</x:v>
      </x:c>
      <x:c r="E91" s="14" t="str">
        <x:v>CP vs delayed</x:v>
      </x:c>
      <x:c r="F91" s="14" t="str">
        <x:v>current_policies</x:v>
      </x:c>
      <x:c r="G91" s="14" t="str">
        <x:v>delayed_transition</x:v>
      </x:c>
      <x:c r="H91" s="14" t="str">
        <x:v>2050</x:v>
      </x:c>
      <x:c r="I91" s="14" t="str">
        <x:v>high</x:v>
      </x:c>
      <x:c r="J91" s="14" t="str">
        <x:v>True</x:v>
      </x:c>
      <x:c r="K91" s="14" t="str">
        <x:v>CFP-2026-003-R17-20260804T234500Z</x:v>
      </x:c>
      <x:c r="L9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1" s="66" t="str">
        <x:v>510.8039128144882</x:v>
      </x:c>
      <x:c r="N91" s="68" t="str">
        <x:v>7401687131.5692215</x:v>
      </x:c>
      <x:c r="O91" s="68" t="str">
        <x:v>45209794613.91126</x:v>
      </x:c>
      <x:c r="P91" s="68" t="str">
        <x:v>0.0</x:v>
      </x:c>
      <x:c r="Q91" s="68" t="str">
        <x:v>2180679862.3662853</x:v>
      </x:c>
      <x:c r="R91" s="68" t="str">
        <x:v>2180679862.3662853</x:v>
      </x:c>
      <x:c r="S91" s="68" t="str">
        <x:v>1531556722.6890755</x:v>
      </x:c>
      <x:c r="T91" s="66" t="str">
        <x:v>-1391.6803116049996</x:v>
      </x:c>
      <x:c r="U91" s="66" t="str">
        <x:v>0.8633926932943653</x:v>
      </x:c>
      <x:c r="V91" s="66" t="str">
        <x:v>-7.36824817518248</x:v>
      </x:c>
      <x:c r="W91" s="68" t="str">
        <x:v>-34968488720.27356</x:v>
      </x:c>
      <x:c r="X91" s="68" t="str">
        <x:v>21694305.36946468</x:v>
      </x:c>
      <x:c r="Y91" s="68" t="str">
        <x:v>-185140582.25404817</x:v>
      </x:c>
      <x:c r="Z91" s="66" t="str">
        <x:v>494.7331184007827</x:v>
      </x:c>
      <x:c r="AA91" s="66" t="str">
        <x:v>-2.321902302872547</x:v>
      </x:c>
      <x:c r="AB91" s="66" t="str">
        <x:v>18.392696716578023</x:v>
      </x:c>
      <x:c r="AC91" s="68" t="str">
        <x:v>-34765110903.55696</x:v>
      </x:c>
      <x:c r="AD91" s="68" t="str">
        <x:v>-83037685.27919656</x:v>
      </x:c>
      <x:c r="AE91" s="68" t="str">
        <x:v>-120340131.43740024</x:v>
      </x:c>
      <x:c r="AF91" s="68" t="str">
        <x:v>21033694.104536325</x:v>
      </x:c>
      <x:c r="AG91" s="68" t="str">
        <x:v>660611.2649283595</x:v>
      </x:c>
      <x:c r="AH91" s="70" t="str">
        <x:v>79756000.0</x:v>
      </x:c>
      <x:c r="AI91" s="70" t="str">
        <x:v>254000.0</x:v>
      </x:c>
      <x:c r="AJ91" s="70" t="str">
        <x:v>27607700.0</x:v>
      </x:c>
      <x:c r="AK91" s="68" t="str">
        <x:v>129959000000.0</x:v>
      </x:c>
      <x:c r="AL91" s="66" t="str">
        <x:v>0.17565995555046018</x:v>
      </x:c>
      <x:c r="AM91" s="70" t="str">
        <x:v>48.0</x:v>
      </x:c>
      <x:c r="AN91" s="70" t="str">
        <x:v>49.0</x:v>
      </x:c>
      <x:c r="AO91" s="66" t="str">
        <x:v>97.95918367346938</x:v>
      </x:c>
      <x:c r="AP91" s="14" t="str">
        <x:v>High</x:v>
      </x:c>
      <x:c r="AQ91" s="47" t="str">
        <x:v>Issuer facility-to-FEMA county match</x:v>
      </x:c>
      <x:c r="AR91" s="66" t="str">
        <x:v>0.17565995555046018</x:v>
      </x:c>
      <x:c r="AS91" s="66" t="str">
        <x:v>7.579869737287252</x:v>
      </x:c>
      <x:c r="AT91" s="66" t="str">
        <x:v>7.251231109814821</x:v>
      </x:c>
      <x:c r="AU91" s="66" t="str">
        <x:v>5.116136979477691</x:v>
      </x:c>
      <x:c r="AV91" s="66" t="str">
        <x:v>2.0</x:v>
      </x:c>
      <x:c r="AW91" s="72" t="str">
        <x:v>1.0</x:v>
      </x:c>
      <x:c r="AX91" s="72" t="str">
        <x:v>0.3</x:v>
      </x:c>
      <x:c r="AY91" s="72" t="str">
        <x:v>0.75</x:v>
      </x:c>
      <x:c r="AZ91" s="72" t="str">
        <x:v>0.01</x:v>
      </x:c>
      <x:c r="BA91" s="72" t="str">
        <x:v>0.01</x:v>
      </x:c>
      <x:c r="BB91" s="72" t="str">
        <x:v>0.8775000000000001</x:v>
      </x:c>
      <x:c r="BC91" s="72" t="str">
        <x:v>0.3</x:v>
      </x:c>
      <x:c r="BD91" s="72" t="str">
        <x:v>0.2</x:v>
      </x:c>
      <x:c r="BE91" s="72" t="str">
        <x:v>0.4</x:v>
      </x:c>
      <x:c r="BF91" s="14" t="str">
        <x:v>1.0</x:v>
      </x:c>
      <x:c r="BG91" s="72" t="str">
        <x:v>1.0</x:v>
      </x:c>
      <x:c r="BH91" s="74" t="str">
        <x:v>1.6373884833738848</x:v>
      </x:c>
      <x:c r="BI91" s="47" t="str">
        <x:v>Common scenario elasticity + issuer SEC CapEx/CFO dependency scale</x:v>
      </x:c>
      <x:c r="BJ91" s="47" t="str">
        <x:v>Modeled estimate using observed inputs + disclosed assumptions</x:v>
      </x:c>
      <x:c r="BK91" s="14" t="str">
        <x:v>False</x:v>
      </x:c>
      <x:c r="BL91" s="14" t="str">
        <x:v>False</x:v>
      </x:c>
      <x:c r="BM91" s="14" t="str">
        <x:v>True</x:v>
      </x:c>
      <x:c r="BN91" s="47" t="str">
        <x:v>Extreme relative scenario differential; denominator-sensitive</x:v>
      </x:c>
      <x:c r="BO91" s="66" t="str">
        <x:v>16.371866306359394</x:v>
      </x:c>
    </x:row>
    <x:row r="92">
      <x:c r="A92" s="14" t="str">
        <x:v>MSFT</x:v>
      </x:c>
      <x:c r="B92" s="14" t="str">
        <x:v>Technology</x:v>
      </x:c>
      <x:c r="C92" s="14" t="str">
        <x:v>cp_vs_delayed</x:v>
      </x:c>
      <x:c r="D92" s="47" t="str">
        <x:v>Current Policies vs Delayed Transition</x:v>
      </x:c>
      <x:c r="E92" s="14" t="str">
        <x:v>CP vs delayed</x:v>
      </x:c>
      <x:c r="F92" s="14" t="str">
        <x:v>current_policies</x:v>
      </x:c>
      <x:c r="G92" s="14" t="str">
        <x:v>delayed_transition</x:v>
      </x:c>
      <x:c r="H92" s="14" t="str">
        <x:v>2050</x:v>
      </x:c>
      <x:c r="I92" s="14" t="str">
        <x:v>low</x:v>
      </x:c>
      <x:c r="J92" s="14" t="str">
        <x:v>True</x:v>
      </x:c>
      <x:c r="K92" s="14" t="str">
        <x:v>CFP-2026-003-R17-20260804T234500Z</x:v>
      </x:c>
      <x:c r="L9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2" s="66" t="str">
        <x:v>0.7813702943422651</x:v>
      </x:c>
      <x:c r="N92" s="68" t="str">
        <x:v>1044326701656.0387</x:v>
      </x:c>
      <x:c r="O92" s="68" t="str">
        <x:v>1052486760278.6635</x:v>
      </x:c>
      <x:c r="P92" s="68" t="str">
        <x:v>133105230039.42159</x:v>
      </x:c>
      <x:c r="Q92" s="68" t="str">
        <x:v>135207501071.45192</x:v>
      </x:c>
      <x:c r="R92" s="68" t="str">
        <x:v>2102271032.0303345</x:v>
      </x:c>
      <x:c r="S92" s="68" t="str">
        <x:v>73477040696.4498</x:v>
      </x:c>
      <x:c r="T92" s="66" t="str">
        <x:v>-0.0124975953773822</x:v>
      </x:c>
      <x:c r="U92" s="66" t="str">
        <x:v>0.0034010465747926393</x:v>
      </x:c>
      <x:c r="V92" s="66" t="str">
        <x:v>-1.5341681232649345</x:v>
      </x:c>
      <x:c r="W92" s="68" t="str">
        <x:v>-17024515.1123094</x:v>
      </x:c>
      <x:c r="X92" s="68" t="str">
        <x:v>4632984.751211688</x:v>
      </x:c>
      <x:c r="Y92" s="68" t="str">
        <x:v>-2089879501.6692333</x:v>
      </x:c>
      <x:c r="Z92" s="66" t="str">
        <x:v>0.0054884390917555185</x:v>
      </x:c>
      <x:c r="AA92" s="66" t="str">
        <x:v>-0.0013068906828412133</x:v>
      </x:c>
      <x:c r="AB92" s="66" t="str">
        <x:v>0.7771887459333601</x:v>
      </x:c>
      <x:c r="AC92" s="68" t="str">
        <x:v>-4780418.354703051</x:v>
      </x:c>
      <x:c r="AD92" s="68" t="str">
        <x:v>-2157617.224444313</x:v>
      </x:c>
      <x:c r="AE92" s="68" t="str">
        <x:v>-10086479.533162037</x:v>
      </x:c>
      <x:c r="AF92" s="68" t="str">
        <x:v>1275390.8835834395</x:v>
      </x:c>
      <x:c r="AG92" s="68" t="str">
        <x:v>3357593.8676282465</x:v>
      </x:c>
      <x:c r="AH92" s="70" t="str">
        <x:v>143510.0</x:v>
      </x:c>
      <x:c r="AI92" s="70" t="str">
        <x:v>259090.0</x:v>
      </x:c>
      <x:c r="AJ92" s="70" t="str">
        <x:v>15140000.0</x:v>
      </x:c>
      <x:c r="AK92" s="68" t="str">
        <x:v>261126000000.0</x:v>
      </x:c>
      <x:c r="AL92" s="66" t="str">
        <x:v>0.18089619337783003</x:v>
      </x:c>
      <x:c r="AM92" s="70" t="str">
        <x:v>0.0</x:v>
      </x:c>
      <x:c r="AN92" s="70" t="str">
        <x:v>0.0</x:v>
      </x:c>
      <x:c r="AO92" s="66" t="str"/>
      <x:c r="AP92" s="14" t="str">
        <x:v>Unverified</x:v>
      </x:c>
      <x:c r="AQ92" s="47" t="str">
        <x:v>Proxy fallback; no issuer facilities in governed match file</x:v>
      </x:c>
      <x:c r="AR92" s="66" t="str"/>
      <x:c r="AS92" s="66" t="str">
        <x:v>7.579869737287252</x:v>
      </x:c>
      <x:c r="AT92" s="66" t="str">
        <x:v>7.251231109814821</x:v>
      </x:c>
      <x:c r="AU92" s="66" t="str">
        <x:v>9.627276973766637</x:v>
      </x:c>
      <x:c r="AV92" s="66" t="str">
        <x:v>2.5</x:v>
      </x:c>
      <x:c r="AW92" s="72" t="str">
        <x:v>0.5</x:v>
      </x:c>
      <x:c r="AX92" s="72" t="str">
        <x:v>0.7</x:v>
      </x:c>
      <x:c r="AY92" s="72" t="str">
        <x:v>0.25</x:v>
      </x:c>
      <x:c r="AZ92" s="72" t="str">
        <x:v>0.01</x:v>
      </x:c>
      <x:c r="BA92" s="72" t="str">
        <x:v>0.05</x:v>
      </x:c>
      <x:c r="BB92" s="72" t="str">
        <x:v>0.06</x:v>
      </x:c>
      <x:c r="BC92" s="72" t="str">
        <x:v>0.7</x:v>
      </x:c>
      <x:c r="BD92" s="72" t="str">
        <x:v>0.05</x:v>
      </x:c>
      <x:c r="BE92" s="72" t="str">
        <x:v>0.15</x:v>
      </x:c>
      <x:c r="BF92" s="14" t="str">
        <x:v>1.0</x:v>
      </x:c>
      <x:c r="BG92" s="72" t="str">
        <x:v>0.35</x:v>
      </x:c>
      <x:c r="BH92" s="74" t="str">
        <x:v>0.974074998898371</x:v>
      </x:c>
      <x:c r="BI92" s="47" t="str">
        <x:v>Common scenario elasticity + issuer SEC CapEx/CFO dependency scale</x:v>
      </x:c>
      <x:c r="BJ92" s="47" t="str">
        <x:v>Modeled estimate using observed inputs + disclosed assumptions</x:v>
      </x:c>
      <x:c r="BK92" s="14" t="str">
        <x:v>False</x:v>
      </x:c>
      <x:c r="BL92" s="14" t="str">
        <x:v>False</x:v>
      </x:c>
      <x:c r="BM92" s="14" t="str">
        <x:v>False</x:v>
      </x:c>
      <x:c r="BN92" s="47" t="str">
        <x:v>Conditional scenario sensitivity; not a forecast or probability</x:v>
      </x:c>
      <x:c r="BO92" s="66" t="str">
        <x:v>99.22468776514926</x:v>
      </x:c>
    </x:row>
    <x:row r="93">
      <x:c r="A93" s="14" t="str">
        <x:v>MSFT</x:v>
      </x:c>
      <x:c r="B93" s="14" t="str">
        <x:v>Technology</x:v>
      </x:c>
      <x:c r="C93" s="14" t="str">
        <x:v>cp_vs_delayed</x:v>
      </x:c>
      <x:c r="D93" s="47" t="str">
        <x:v>Current Policies vs Delayed Transition</x:v>
      </x:c>
      <x:c r="E93" s="14" t="str">
        <x:v>CP vs delayed</x:v>
      </x:c>
      <x:c r="F93" s="14" t="str">
        <x:v>current_policies</x:v>
      </x:c>
      <x:c r="G93" s="14" t="str">
        <x:v>delayed_transition</x:v>
      </x:c>
      <x:c r="H93" s="14" t="str">
        <x:v>2050</x:v>
      </x:c>
      <x:c r="I93" s="14" t="str">
        <x:v>base</x:v>
      </x:c>
      <x:c r="J93" s="14" t="str">
        <x:v>True</x:v>
      </x:c>
      <x:c r="K93" s="14" t="str">
        <x:v>CFP-2026-003-R17-20260804T234500Z</x:v>
      </x:c>
      <x:c r="L9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3" s="66" t="str">
        <x:v>1.3691887123201463</x:v>
      </x:c>
      <x:c r="N93" s="68" t="str">
        <x:v>1034354614940.1128</x:v>
      </x:c>
      <x:c r="O93" s="68" t="str">
        <x:v>1048516881573.2354</x:v>
      </x:c>
      <x:c r="P93" s="68" t="str">
        <x:v>130685228880.12909</x:v>
      </x:c>
      <x:c r="Q93" s="68" t="str">
        <x:v>134348025850.03798</x:v>
      </x:c>
      <x:c r="R93" s="68" t="str">
        <x:v>3662796969.90889</x:v>
      </x:c>
      <x:c r="S93" s="68" t="str">
        <x:v>73477040696.4498</x:v>
      </x:c>
      <x:c r="T93" s="66" t="str">
        <x:v>-0.06965167197251736</x:v>
      </x:c>
      <x:c r="U93" s="66" t="str">
        <x:v>0.010816679211114686</x:v>
      </x:c>
      <x:c r="V93" s="66" t="str">
        <x:v>-2.630002497025602</x:v>
      </x:c>
      <x:c r="W93" s="68" t="str">
        <x:v>-94881127.63193959</x:v>
      </x:c>
      <x:c r="X93" s="68" t="str">
        <x:v>14734732.013159275</x:v>
      </x:c>
      <x:c r="Y93" s="68" t="str">
        <x:v>-3582650574.2901144</x:v>
      </x:c>
      <x:c r="Z93" s="66" t="str">
        <x:v>0.02809965636888925</x:v>
      </x:c>
      <x:c r="AA93" s="66" t="str">
        <x:v>-0.004079277530545483</x:v>
      </x:c>
      <x:c r="AB93" s="66" t="str">
        <x:v>1.3451683334818043</x:v>
      </x:c>
      <x:c r="AC93" s="68" t="str">
        <x:v>-20119127.289614897</x:v>
      </x:c>
      <x:c r="AD93" s="68" t="str">
        <x:v>-18161329.138967056</x:v>
      </x:c>
      <x:c r="AE93" s="68" t="str">
        <x:v>-56600671.203357644</x:v>
      </x:c>
      <x:c r="AF93" s="68" t="str">
        <x:v>3542752.454398446</x:v>
      </x:c>
      <x:c r="AG93" s="68" t="str">
        <x:v>11191979.558760852</x:v>
      </x:c>
      <x:c r="AH93" s="70" t="str">
        <x:v>143510.0</x:v>
      </x:c>
      <x:c r="AI93" s="70" t="str">
        <x:v>259090.0</x:v>
      </x:c>
      <x:c r="AJ93" s="70" t="str">
        <x:v>15140000.0</x:v>
      </x:c>
      <x:c r="AK93" s="68" t="str">
        <x:v>261126000000.0</x:v>
      </x:c>
      <x:c r="AL93" s="66" t="str">
        <x:v>0.18089619337783003</x:v>
      </x:c>
      <x:c r="AM93" s="70" t="str">
        <x:v>0.0</x:v>
      </x:c>
      <x:c r="AN93" s="70" t="str">
        <x:v>0.0</x:v>
      </x:c>
      <x:c r="AO93" s="66" t="str"/>
      <x:c r="AP93" s="14" t="str">
        <x:v>Unverified</x:v>
      </x:c>
      <x:c r="AQ93" s="47" t="str">
        <x:v>Proxy fallback; no issuer facilities in governed match file</x:v>
      </x:c>
      <x:c r="AR93" s="66" t="str"/>
      <x:c r="AS93" s="66" t="str">
        <x:v>7.579869737287252</x:v>
      </x:c>
      <x:c r="AT93" s="66" t="str">
        <x:v>7.251231109814821</x:v>
      </x:c>
      <x:c r="AU93" s="66" t="str">
        <x:v>9.627276973766637</x:v>
      </x:c>
      <x:c r="AV93" s="66" t="str">
        <x:v>2.5</x:v>
      </x:c>
      <x:c r="AW93" s="72" t="str">
        <x:v>0.75</x:v>
      </x:c>
      <x:c r="AX93" s="72" t="str">
        <x:v>0.5</x:v>
      </x:c>
      <x:c r="AY93" s="72" t="str">
        <x:v>0.5</x:v>
      </x:c>
      <x:c r="AZ93" s="72" t="str">
        <x:v>0.02</x:v>
      </x:c>
      <x:c r="BA93" s="72" t="str">
        <x:v>0.03</x:v>
      </x:c>
      <x:c r="BB93" s="72" t="str">
        <x:v>0.1</x:v>
      </x:c>
      <x:c r="BC93" s="72" t="str">
        <x:v>0.5</x:v>
      </x:c>
      <x:c r="BD93" s="72" t="str">
        <x:v>0.1</x:v>
      </x:c>
      <x:c r="BE93" s="72" t="str">
        <x:v>0.25</x:v>
      </x:c>
      <x:c r="BF93" s="14" t="str">
        <x:v>1.0</x:v>
      </x:c>
      <x:c r="BG93" s="72" t="str">
        <x:v>0.6</x:v>
      </x:c>
      <x:c r="BH93" s="74" t="str">
        <x:v>0.974074998898371</x:v>
      </x:c>
      <x:c r="BI93" s="47" t="str">
        <x:v>Common scenario elasticity + issuer SEC CapEx/CFO dependency scale</x:v>
      </x:c>
      <x:c r="BJ93" s="47" t="str">
        <x:v>Modeled estimate using observed inputs + disclosed assumptions</x:v>
      </x:c>
      <x:c r="BK93" s="14" t="str">
        <x:v>False</x:v>
      </x:c>
      <x:c r="BL93" s="14" t="str">
        <x:v>False</x:v>
      </x:c>
      <x:c r="BM93" s="14" t="str">
        <x:v>False</x:v>
      </x:c>
      <x:c r="BN93" s="47" t="str">
        <x:v>Conditional scenario sensitivity; not a forecast or probability</x:v>
      </x:c>
      <x:c r="BO93" s="66" t="str">
        <x:v>98.64930485316813</x:v>
      </x:c>
    </x:row>
    <x:row r="94">
      <x:c r="A94" s="14" t="str">
        <x:v>MSFT</x:v>
      </x:c>
      <x:c r="B94" s="14" t="str">
        <x:v>Technology</x:v>
      </x:c>
      <x:c r="C94" s="14" t="str">
        <x:v>cp_vs_delayed</x:v>
      </x:c>
      <x:c r="D94" s="47" t="str">
        <x:v>Current Policies vs Delayed Transition</x:v>
      </x:c>
      <x:c r="E94" s="14" t="str">
        <x:v>CP vs delayed</x:v>
      </x:c>
      <x:c r="F94" s="14" t="str">
        <x:v>current_policies</x:v>
      </x:c>
      <x:c r="G94" s="14" t="str">
        <x:v>delayed_transition</x:v>
      </x:c>
      <x:c r="H94" s="14" t="str">
        <x:v>2050</x:v>
      </x:c>
      <x:c r="I94" s="14" t="str">
        <x:v>high</x:v>
      </x:c>
      <x:c r="J94" s="14" t="str">
        <x:v>True</x:v>
      </x:c>
      <x:c r="K94" s="14" t="str">
        <x:v>CFP-2026-003-R17-20260804T234500Z</x:v>
      </x:c>
      <x:c r="L9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4" s="66" t="str">
        <x:v>2.386010956815121</x:v>
      </x:c>
      <x:c r="N94" s="68" t="str">
        <x:v>1015899006217.7114</x:v>
      </x:c>
      <x:c r="O94" s="68" t="str">
        <x:v>1040138467816.242</x:v>
      </x:c>
      <x:c r="P94" s="68" t="str">
        <x:v>126356917659.51189</x:v>
      </x:c>
      <x:c r="Q94" s="68" t="str">
        <x:v>132696725597.14645</x:v>
      </x:c>
      <x:c r="R94" s="68" t="str">
        <x:v>6339807937.634567</x:v>
      </x:c>
      <x:c r="S94" s="68" t="str">
        <x:v>73477040696.4498</x:v>
      </x:c>
      <x:c r="T94" s="66" t="str">
        <x:v>-0.3018842770270603</x:v>
      </x:c>
      <x:c r="U94" s="66" t="str">
        <x:v>0.031206438758728985</x:v>
      </x:c>
      <x:c r="V94" s="66" t="str">
        <x:v>-4.38333749504267</x:v>
      </x:c>
      <x:c r="W94" s="68" t="str">
        <x:v>-411233783.87789613</x:v>
      </x:c>
      <x:c r="X94" s="68" t="str">
        <x:v>42510136.72684789</x:v>
      </x:c>
      <x:c r="Y94" s="68" t="str">
        <x:v>-5971084290.483524</x:v>
      </x:c>
      <x:c r="Z94" s="66" t="str">
        <x:v>0.11449805086771714</x:v>
      </x:c>
      <x:c r="AA94" s="66" t="str">
        <x:v>-0.01116326739330685</x:v>
      </x:c>
      <x:c r="AB94" s="66" t="str">
        <x:v>2.28267617334071</x:v>
      </x:c>
      <x:c r="AC94" s="68" t="str">
        <x:v>-62555056.2436614</x:v>
      </x:c>
      <x:c r="AD94" s="68" t="str">
        <x:v>-84701708.18498833</x:v>
      </x:c>
      <x:c r="AE94" s="68" t="str">
        <x:v>-263977019.4492464</x:v>
      </x:c>
      <x:c r="AF94" s="68" t="str">
        <x:v>6695802.138813056</x:v>
      </x:c>
      <x:c r="AG94" s="68" t="str">
        <x:v>35814334.58803475</x:v>
      </x:c>
      <x:c r="AH94" s="70" t="str">
        <x:v>143510.0</x:v>
      </x:c>
      <x:c r="AI94" s="70" t="str">
        <x:v>259090.0</x:v>
      </x:c>
      <x:c r="AJ94" s="70" t="str">
        <x:v>15140000.0</x:v>
      </x:c>
      <x:c r="AK94" s="68" t="str">
        <x:v>261126000000.0</x:v>
      </x:c>
      <x:c r="AL94" s="66" t="str">
        <x:v>0.18089619337783003</x:v>
      </x:c>
      <x:c r="AM94" s="70" t="str">
        <x:v>0.0</x:v>
      </x:c>
      <x:c r="AN94" s="70" t="str">
        <x:v>0.0</x:v>
      </x:c>
      <x:c r="AO94" s="66" t="str"/>
      <x:c r="AP94" s="14" t="str">
        <x:v>Unverified</x:v>
      </x:c>
      <x:c r="AQ94" s="47" t="str">
        <x:v>Proxy fallback; no issuer facilities in governed match file</x:v>
      </x:c>
      <x:c r="AR94" s="66" t="str"/>
      <x:c r="AS94" s="66" t="str">
        <x:v>7.579869737287252</x:v>
      </x:c>
      <x:c r="AT94" s="66" t="str">
        <x:v>7.251231109814821</x:v>
      </x:c>
      <x:c r="AU94" s="66" t="str">
        <x:v>9.627276973766637</x:v>
      </x:c>
      <x:c r="AV94" s="66" t="str">
        <x:v>2.5</x:v>
      </x:c>
      <x:c r="AW94" s="72" t="str">
        <x:v>1.0</x:v>
      </x:c>
      <x:c r="AX94" s="72" t="str">
        <x:v>0.3</x:v>
      </x:c>
      <x:c r="AY94" s="72" t="str">
        <x:v>0.75</x:v>
      </x:c>
      <x:c r="AZ94" s="72" t="str">
        <x:v>0.04</x:v>
      </x:c>
      <x:c r="BA94" s="72" t="str">
        <x:v>0.01</x:v>
      </x:c>
      <x:c r="BB94" s="72" t="str">
        <x:v>0.135</x:v>
      </x:c>
      <x:c r="BC94" s="72" t="str">
        <x:v>0.3</x:v>
      </x:c>
      <x:c r="BD94" s="72" t="str">
        <x:v>0.2</x:v>
      </x:c>
      <x:c r="BE94" s="72" t="str">
        <x:v>0.4</x:v>
      </x:c>
      <x:c r="BF94" s="14" t="str">
        <x:v>1.0</x:v>
      </x:c>
      <x:c r="BG94" s="72" t="str">
        <x:v>1.0</x:v>
      </x:c>
      <x:c r="BH94" s="74" t="str">
        <x:v>0.974074998898371</x:v>
      </x:c>
      <x:c r="BI94" s="47" t="str">
        <x:v>Common scenario elasticity + issuer SEC CapEx/CFO dependency scale</x:v>
      </x:c>
      <x:c r="BJ94" s="47" t="str">
        <x:v>Modeled estimate using observed inputs + disclosed assumptions</x:v>
      </x:c>
      <x:c r="BK94" s="14" t="str">
        <x:v>False</x:v>
      </x:c>
      <x:c r="BL94" s="14" t="str">
        <x:v>False</x:v>
      </x:c>
      <x:c r="BM94" s="14" t="str">
        <x:v>False</x:v>
      </x:c>
      <x:c r="BN94" s="47" t="str">
        <x:v>Conditional scenario sensitivity; not a forecast or probability</x:v>
      </x:c>
      <x:c r="BO94" s="66" t="str">
        <x:v>97.6695928139817</x:v>
      </x:c>
    </x:row>
    <x:row r="95">
      <x:c r="A95" s="14" t="str">
        <x:v>NEE</x:v>
      </x:c>
      <x:c r="B95" s="14" t="str">
        <x:v>Utilities</x:v>
      </x:c>
      <x:c r="C95" s="14" t="str">
        <x:v>cp_vs_delayed</x:v>
      </x:c>
      <x:c r="D95" s="47" t="str">
        <x:v>Current Policies vs Delayed Transition</x:v>
      </x:c>
      <x:c r="E95" s="14" t="str">
        <x:v>CP vs delayed</x:v>
      </x:c>
      <x:c r="F95" s="14" t="str">
        <x:v>current_policies</x:v>
      </x:c>
      <x:c r="G95" s="14" t="str">
        <x:v>delayed_transition</x:v>
      </x:c>
      <x:c r="H95" s="14" t="str">
        <x:v>2050</x:v>
      </x:c>
      <x:c r="I95" s="14" t="str">
        <x:v>low</x:v>
      </x:c>
      <x:c r="J95" s="14" t="str">
        <x:v>True</x:v>
      </x:c>
      <x:c r="K95" s="14" t="str">
        <x:v>CFP-2026-003-R17-20260804T234500Z</x:v>
      </x:c>
      <x:c r="L9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5" s="66" t="str">
        <x:v>7.303296144907168</x:v>
      </x:c>
      <x:c r="N95" s="68" t="str">
        <x:v>191499393698.5143</x:v>
      </x:c>
      <x:c r="O95" s="68" t="str">
        <x:v>205485161536.0185</x:v>
      </x:c>
      <x:c r="P95" s="68" t="str">
        <x:v>13972992061.274406</x:v>
      </x:c>
      <x:c r="Q95" s="68" t="str">
        <x:v>15922536116.732552</x:v>
      </x:c>
      <x:c r="R95" s="68" t="str">
        <x:v>1949544055.4581451</x:v>
      </x:c>
      <x:c r="S95" s="68" t="str">
        <x:v>9879440000.0</x:v>
      </x:c>
      <x:c r="T95" s="66" t="str">
        <x:v>-8.92284526167211</x:v>
      </x:c>
      <x:c r="U95" s="66" t="str">
        <x:v>0.04476183531763454</x:v>
      </x:c>
      <x:c r="V95" s="66" t="str">
        <x:v>-3.15</x:v>
      </x:c>
      <x:c r="W95" s="68" t="str">
        <x:v>-1446238716.5980976</x:v>
      </x:c>
      <x:c r="X95" s="68" t="str">
        <x:v>7255118.447523072</x:v>
      </x:c>
      <x:c r="Y95" s="68" t="str">
        <x:v>-510560457.3075711</x:v>
      </x:c>
      <x:c r="Z95" s="66" t="str">
        <x:v>5.266130221148185</x:v>
      </x:c>
      <x:c r="AA95" s="66" t="str">
        <x:v>-0.03192536278443992</x:v>
      </x:c>
      <x:c r="AB95" s="66" t="str">
        <x:v>2.069091286543414</x:v>
      </x:c>
      <x:c r="AC95" s="68" t="str">
        <x:v>-1446014640.033952</x:v>
      </x:c>
      <x:c r="AD95" s="68" t="str">
        <x:v>-213213.45400226855</x:v>
      </x:c>
      <x:c r="AE95" s="68" t="str">
        <x:v>-10863.110143121712</x:v>
      </x:c>
      <x:c r="AF95" s="68" t="str">
        <x:v>6855618.714353412</x:v>
      </x:c>
      <x:c r="AG95" s="68" t="str">
        <x:v>399499.73316966</x:v>
      </x:c>
      <x:c r="AH95" s="70" t="str">
        <x:v>43409916.37</x:v>
      </x:c>
      <x:c r="AI95" s="70" t="str">
        <x:v>25603.0</x:v>
      </x:c>
      <x:c r="AJ95" s="70" t="str">
        <x:v>65222.95</x:v>
      </x:c>
      <x:c r="AK95" s="68" t="str">
        <x:v>156197000000.0</x:v>
      </x:c>
      <x:c r="AL95" s="66" t="str">
        <x:v>0.25009029941509914</x:v>
      </x:c>
      <x:c r="AM95" s="70" t="str">
        <x:v>23.0</x:v>
      </x:c>
      <x:c r="AN95" s="70" t="str">
        <x:v>27.0</x:v>
      </x:c>
      <x:c r="AO95" s="66" t="str">
        <x:v>85.18518518518519</x:v>
      </x:c>
      <x:c r="AP95" s="14" t="str">
        <x:v>High</x:v>
      </x:c>
      <x:c r="AQ95" s="47" t="str">
        <x:v>Issuer facility-to-FEMA county match</x:v>
      </x:c>
      <x:c r="AR95" s="66" t="str">
        <x:v>0.25009029941509914</x:v>
      </x:c>
      <x:c r="AS95" s="66" t="str">
        <x:v>7.579869737287252</x:v>
      </x:c>
      <x:c r="AT95" s="66" t="str">
        <x:v>7.251231109814821</x:v>
      </x:c>
      <x:c r="AU95" s="66" t="str">
        <x:v>6.849686675720218</x:v>
      </x:c>
      <x:c r="AV95" s="66" t="str">
        <x:v>2.0</x:v>
      </x:c>
      <x:c r="AW95" s="72" t="str">
        <x:v>0.5</x:v>
      </x:c>
      <x:c r="AX95" s="72" t="str">
        <x:v>0.7</x:v>
      </x:c>
      <x:c r="AY95" s="72" t="str">
        <x:v>0.25</x:v>
      </x:c>
      <x:c r="AZ95" s="72" t="str">
        <x:v>0.0025</x:v>
      </x:c>
      <x:c r="BA95" s="72" t="str">
        <x:v>0.05</x:v>
      </x:c>
      <x:c r="BB95" s="72" t="str">
        <x:v>0.39</x:v>
      </x:c>
      <x:c r="BC95" s="72" t="str">
        <x:v>0.7</x:v>
      </x:c>
      <x:c r="BD95" s="72" t="str">
        <x:v>0.05</x:v>
      </x:c>
      <x:c r="BE95" s="72" t="str">
        <x:v>0.15</x:v>
      </x:c>
      <x:c r="BF95" s="14" t="str">
        <x:v>1.0</x:v>
      </x:c>
      <x:c r="BG95" s="72" t="str">
        <x:v>0.35</x:v>
      </x:c>
      <x:c r="BH95" s="74" t="str">
        <x:v>2.0</x:v>
      </x:c>
      <x:c r="BI95" s="47" t="str">
        <x:v>Common scenario elasticity + issuer SEC CapEx/CFO dependency scale</x:v>
      </x:c>
      <x:c r="BJ95" s="47" t="str">
        <x:v>Modeled estimate using observed inputs + disclosed assumptions</x:v>
      </x:c>
      <x:c r="BK95" s="14" t="str">
        <x:v>False</x:v>
      </x:c>
      <x:c r="BL95" s="14" t="str">
        <x:v>False</x:v>
      </x:c>
      <x:c r="BM95" s="14" t="str">
        <x:v>False</x:v>
      </x:c>
      <x:c r="BN95" s="47" t="str">
        <x:v>Conditional scenario sensitivity; not a forecast or probability</x:v>
      </x:c>
      <x:c r="BO95" s="66" t="str">
        <x:v>93.19378210428461</x:v>
      </x:c>
    </x:row>
    <x:row r="96">
      <x:c r="A96" s="14" t="str">
        <x:v>NEE</x:v>
      </x:c>
      <x:c r="B96" s="14" t="str">
        <x:v>Utilities</x:v>
      </x:c>
      <x:c r="C96" s="14" t="str">
        <x:v>cp_vs_delayed</x:v>
      </x:c>
      <x:c r="D96" s="47" t="str">
        <x:v>Current Policies vs Delayed Transition</x:v>
      </x:c>
      <x:c r="E96" s="14" t="str">
        <x:v>CP vs delayed</x:v>
      </x:c>
      <x:c r="F96" s="14" t="str">
        <x:v>current_policies</x:v>
      </x:c>
      <x:c r="G96" s="14" t="str">
        <x:v>delayed_transition</x:v>
      </x:c>
      <x:c r="H96" s="14" t="str">
        <x:v>2050</x:v>
      </x:c>
      <x:c r="I96" s="14" t="str">
        <x:v>base</x:v>
      </x:c>
      <x:c r="J96" s="14" t="str">
        <x:v>True</x:v>
      </x:c>
      <x:c r="K96" s="14" t="str">
        <x:v>CFP-2026-003-R17-20260804T234500Z</x:v>
      </x:c>
      <x:c r="L9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6" s="66" t="str">
        <x:v>29.639967406482825</x:v>
      </x:c>
      <x:c r="N96" s="68" t="str">
        <x:v>156716001215.5842</x:v>
      </x:c>
      <x:c r="O96" s="68" t="str">
        <x:v>203166572896.6266</x:v>
      </x:c>
      <x:c r="P96" s="68" t="str">
        <x:v>8702688654.416668</x:v>
      </x:c>
      <x:c r="Q96" s="68" t="str">
        <x:v>15645191181.486599</x:v>
      </x:c>
      <x:c r="R96" s="68" t="str">
        <x:v>6942502527.069931</x:v>
      </x:c>
      <x:c r="S96" s="68" t="str">
        <x:v>9879440000.0</x:v>
      </x:c>
      <x:c r="T96" s="66" t="str">
        <x:v>-37.55879960403254</x:v>
      </x:c>
      <x:c r="U96" s="66" t="str">
        <x:v>0.12570775905234227</x:v>
      </x:c>
      <x:c r="V96" s="66" t="str">
        <x:v>-5.3999999999999995</x:v>
      </x:c>
      <x:c r="W96" s="68" t="str">
        <x:v>-6087631079.923261</x:v>
      </x:c>
      <x:c r="X96" s="68" t="str">
        <x:v>20375051.09488058</x:v>
      </x:c>
      <x:c r="Y96" s="68" t="str">
        <x:v>-875246498.2415504</x:v>
      </x:c>
      <x:c r="Z96" s="66" t="str">
        <x:v>25.41482792762133</x:v>
      </x:c>
      <x:c r="AA96" s="66" t="str">
        <x:v>-0.10914007840728122</x:v>
      </x:c>
      <x:c r="AB96" s="66" t="str">
        <x:v>4.3342795572687765</x:v>
      </x:c>
      <x:c r="AC96" s="68" t="str">
        <x:v>-6085775437.806198</x:v>
      </x:c>
      <x:c r="AD96" s="68" t="str">
        <x:v>-1794683.3530625405</x:v>
      </x:c>
      <x:c r="AE96" s="68" t="str">
        <x:v>-60958.76400038037</x:v>
      </x:c>
      <x:c r="AF96" s="68" t="str">
        <x:v>19043385.317648366</x:v>
      </x:c>
      <x:c r="AG96" s="68" t="str">
        <x:v>1331665.7772322</x:v>
      </x:c>
      <x:c r="AH96" s="70" t="str">
        <x:v>43409916.37</x:v>
      </x:c>
      <x:c r="AI96" s="70" t="str">
        <x:v>25603.0</x:v>
      </x:c>
      <x:c r="AJ96" s="70" t="str">
        <x:v>65222.95</x:v>
      </x:c>
      <x:c r="AK96" s="68" t="str">
        <x:v>156197000000.0</x:v>
      </x:c>
      <x:c r="AL96" s="66" t="str">
        <x:v>0.25009029941509914</x:v>
      </x:c>
      <x:c r="AM96" s="70" t="str">
        <x:v>23.0</x:v>
      </x:c>
      <x:c r="AN96" s="70" t="str">
        <x:v>27.0</x:v>
      </x:c>
      <x:c r="AO96" s="66" t="str">
        <x:v>85.18518518518519</x:v>
      </x:c>
      <x:c r="AP96" s="14" t="str">
        <x:v>High</x:v>
      </x:c>
      <x:c r="AQ96" s="47" t="str">
        <x:v>Issuer facility-to-FEMA county match</x:v>
      </x:c>
      <x:c r="AR96" s="66" t="str">
        <x:v>0.25009029941509914</x:v>
      </x:c>
      <x:c r="AS96" s="66" t="str">
        <x:v>7.579869737287252</x:v>
      </x:c>
      <x:c r="AT96" s="66" t="str">
        <x:v>7.251231109814821</x:v>
      </x:c>
      <x:c r="AU96" s="66" t="str">
        <x:v>6.849686675720218</x:v>
      </x:c>
      <x:c r="AV96" s="66" t="str">
        <x:v>2.0</x:v>
      </x:c>
      <x:c r="AW96" s="72" t="str">
        <x:v>0.75</x:v>
      </x:c>
      <x:c r="AX96" s="72" t="str">
        <x:v>0.5</x:v>
      </x:c>
      <x:c r="AY96" s="72" t="str">
        <x:v>0.5</x:v>
      </x:c>
      <x:c r="AZ96" s="72" t="str">
        <x:v>0.005</x:v>
      </x:c>
      <x:c r="BA96" s="72" t="str">
        <x:v>0.03</x:v>
      </x:c>
      <x:c r="BB96" s="72" t="str">
        <x:v>0.65</x:v>
      </x:c>
      <x:c r="BC96" s="72" t="str">
        <x:v>0.5</x:v>
      </x:c>
      <x:c r="BD96" s="72" t="str">
        <x:v>0.1</x:v>
      </x:c>
      <x:c r="BE96" s="72" t="str">
        <x:v>0.25</x:v>
      </x:c>
      <x:c r="BF96" s="14" t="str">
        <x:v>1.0</x:v>
      </x:c>
      <x:c r="BG96" s="72" t="str">
        <x:v>0.6</x:v>
      </x:c>
      <x:c r="BH96" s="74" t="str">
        <x:v>2.0</x:v>
      </x:c>
      <x:c r="BI96" s="47" t="str">
        <x:v>Common scenario elasticity + issuer SEC CapEx/CFO dependency scale</x:v>
      </x:c>
      <x:c r="BJ96" s="47" t="str">
        <x:v>Modeled estimate using observed inputs + disclosed assumptions</x:v>
      </x:c>
      <x:c r="BK96" s="14" t="str">
        <x:v>False</x:v>
      </x:c>
      <x:c r="BL96" s="14" t="str">
        <x:v>False</x:v>
      </x:c>
      <x:c r="BM96" s="14" t="str">
        <x:v>False</x:v>
      </x:c>
      <x:c r="BN96" s="47" t="str">
        <x:v>Conditional scenario sensitivity; not a forecast or probability</x:v>
      </x:c>
      <x:c r="BO96" s="66" t="str">
        <x:v>77.1367056013309</x:v>
      </x:c>
    </x:row>
    <x:row r="97">
      <x:c r="A97" s="14" t="str">
        <x:v>NEE</x:v>
      </x:c>
      <x:c r="B97" s="14" t="str">
        <x:v>Utilities</x:v>
      </x:c>
      <x:c r="C97" s="14" t="str">
        <x:v>cp_vs_delayed</x:v>
      </x:c>
      <x:c r="D97" s="47" t="str">
        <x:v>Current Policies vs Delayed Transition</x:v>
      </x:c>
      <x:c r="E97" s="14" t="str">
        <x:v>CP vs delayed</x:v>
      </x:c>
      <x:c r="F97" s="14" t="str">
        <x:v>current_policies</x:v>
      </x:c>
      <x:c r="G97" s="14" t="str">
        <x:v>delayed_transition</x:v>
      </x:c>
      <x:c r="H97" s="14" t="str">
        <x:v>2050</x:v>
      </x:c>
      <x:c r="I97" s="14" t="str">
        <x:v>high</x:v>
      </x:c>
      <x:c r="J97" s="14" t="str">
        <x:v>True</x:v>
      </x:c>
      <x:c r="K97" s="14" t="str">
        <x:v>CFP-2026-003-R17-20260804T234500Z</x:v>
      </x:c>
      <x:c r="L9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7" s="66" t="str">
        <x:v>112.20296212117668</x:v>
      </x:c>
      <x:c r="N97" s="68" t="str">
        <x:v>93828178005.08028</x:v>
      </x:c>
      <x:c r="O97" s="68" t="str">
        <x:v>199106173031.11072</x:v>
      </x:c>
      <x:c r="P97" s="68" t="str">
        <x:v>0.0</x:v>
      </x:c>
      <x:c r="Q97" s="68" t="str">
        <x:v>15170679225.627037</x:v>
      </x:c>
      <x:c r="R97" s="68" t="str">
        <x:v>15170679225.627037</x:v>
      </x:c>
      <x:c r="S97" s="68" t="str">
        <x:v>9879440000.0</x:v>
      </x:c>
      <x:c r="T97" s="66" t="str">
        <x:v>-116.79686082097875</x:v>
      </x:c>
      <x:c r="U97" s="66" t="str">
        <x:v>0.2483505796586489</x:v>
      </x:c>
      <x:c r="V97" s="66" t="str">
        <x:v>-9.0</x:v>
      </x:c>
      <x:c r="W97" s="68" t="str">
        <x:v>-18930748785.031002</x:v>
      </x:c>
      <x:c r="X97" s="68" t="str">
        <x:v>40253328.73749846</x:v>
      </x:c>
      <x:c r="Y97" s="68" t="str">
        <x:v>-1458744163.7359176</x:v>
      </x:c>
      <x:c r="Z97" s="66" t="str">
        <x:v>104.05005764427493</x:v>
      </x:c>
      <x:c r="AA97" s="66" t="str">
        <x:v>-0.25328300822421385</x:v>
      </x:c>
      <x:c r="AB97" s="66" t="str">
        <x:v>8.406187485125944</x:v>
      </x:c>
      <x:c r="AC97" s="68" t="str">
        <x:v>-18922094349.22993</x:v>
      </x:c>
      <x:c r="AD97" s="68" t="str">
        <x:v>-8370133.292138857</x:v>
      </x:c>
      <x:c r="AE97" s="68" t="str">
        <x:v>-284302.5089281246</x:v>
      </x:c>
      <x:c r="AF97" s="68" t="str">
        <x:v>35991998.25035542</x:v>
      </x:c>
      <x:c r="AG97" s="68" t="str">
        <x:v>4261330.48714304</x:v>
      </x:c>
      <x:c r="AH97" s="70" t="str">
        <x:v>43409916.37</x:v>
      </x:c>
      <x:c r="AI97" s="70" t="str">
        <x:v>25603.0</x:v>
      </x:c>
      <x:c r="AJ97" s="70" t="str">
        <x:v>65222.95</x:v>
      </x:c>
      <x:c r="AK97" s="68" t="str">
        <x:v>156197000000.0</x:v>
      </x:c>
      <x:c r="AL97" s="66" t="str">
        <x:v>0.25009029941509914</x:v>
      </x:c>
      <x:c r="AM97" s="70" t="str">
        <x:v>23.0</x:v>
      </x:c>
      <x:c r="AN97" s="70" t="str">
        <x:v>27.0</x:v>
      </x:c>
      <x:c r="AO97" s="66" t="str">
        <x:v>85.18518518518519</x:v>
      </x:c>
      <x:c r="AP97" s="14" t="str">
        <x:v>High</x:v>
      </x:c>
      <x:c r="AQ97" s="47" t="str">
        <x:v>Issuer facility-to-FEMA county match</x:v>
      </x:c>
      <x:c r="AR97" s="66" t="str">
        <x:v>0.25009029941509914</x:v>
      </x:c>
      <x:c r="AS97" s="66" t="str">
        <x:v>7.579869737287252</x:v>
      </x:c>
      <x:c r="AT97" s="66" t="str">
        <x:v>7.251231109814821</x:v>
      </x:c>
      <x:c r="AU97" s="66" t="str">
        <x:v>6.849686675720218</x:v>
      </x:c>
      <x:c r="AV97" s="66" t="str">
        <x:v>2.0</x:v>
      </x:c>
      <x:c r="AW97" s="72" t="str">
        <x:v>1.0</x:v>
      </x:c>
      <x:c r="AX97" s="72" t="str">
        <x:v>0.3</x:v>
      </x:c>
      <x:c r="AY97" s="72" t="str">
        <x:v>0.75</x:v>
      </x:c>
      <x:c r="AZ97" s="72" t="str">
        <x:v>0.01</x:v>
      </x:c>
      <x:c r="BA97" s="72" t="str">
        <x:v>0.01</x:v>
      </x:c>
      <x:c r="BB97" s="72" t="str">
        <x:v>0.8775000000000001</x:v>
      </x:c>
      <x:c r="BC97" s="72" t="str">
        <x:v>0.3</x:v>
      </x:c>
      <x:c r="BD97" s="72" t="str">
        <x:v>0.2</x:v>
      </x:c>
      <x:c r="BE97" s="72" t="str">
        <x:v>0.4</x:v>
      </x:c>
      <x:c r="BF97" s="14" t="str">
        <x:v>1.0</x:v>
      </x:c>
      <x:c r="BG97" s="72" t="str">
        <x:v>1.0</x:v>
      </x:c>
      <x:c r="BH97" s="74" t="str">
        <x:v>2.0</x:v>
      </x:c>
      <x:c r="BI97" s="47" t="str">
        <x:v>Common scenario elasticity + issuer SEC CapEx/CFO dependency scale</x:v>
      </x:c>
      <x:c r="BJ97" s="47" t="str">
        <x:v>Modeled estimate using observed inputs + disclosed assumptions</x:v>
      </x:c>
      <x:c r="BK97" s="14" t="str">
        <x:v>False</x:v>
      </x:c>
      <x:c r="BL97" s="14" t="str">
        <x:v>False</x:v>
      </x:c>
      <x:c r="BM97" s="14" t="str">
        <x:v>True</x:v>
      </x:c>
      <x:c r="BN97" s="47" t="str">
        <x:v>Extreme relative scenario differential; denominator-sensitive</x:v>
      </x:c>
      <x:c r="BO97" s="66" t="str">
        <x:v>47.124695621777356</x:v>
      </x:c>
    </x:row>
    <x:row r="98">
      <x:c r="A98" s="14" t="str">
        <x:v>XOM</x:v>
      </x:c>
      <x:c r="B98" s="14" t="str">
        <x:v>Energy</x:v>
      </x:c>
      <x:c r="C98" s="14" t="str">
        <x:v>cp_vs_delayed</x:v>
      </x:c>
      <x:c r="D98" s="47" t="str">
        <x:v>Current Policies vs Delayed Transition</x:v>
      </x:c>
      <x:c r="E98" s="14" t="str">
        <x:v>CP vs delayed</x:v>
      </x:c>
      <x:c r="F98" s="14" t="str">
        <x:v>current_policies</x:v>
      </x:c>
      <x:c r="G98" s="14" t="str">
        <x:v>delayed_transition</x:v>
      </x:c>
      <x:c r="H98" s="14" t="str">
        <x:v>2050</x:v>
      </x:c>
      <x:c r="I98" s="14" t="str">
        <x:v>low</x:v>
      </x:c>
      <x:c r="J98" s="14" t="str">
        <x:v>True</x:v>
      </x:c>
      <x:c r="K98" s="14" t="str">
        <x:v>CFP-2026-003-R17-20260804T234500Z</x:v>
      </x:c>
      <x:c r="L9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8" s="66" t="str">
        <x:v>7.664626721599133</x:v>
      </x:c>
      <x:c r="N98" s="68" t="str">
        <x:v>624301482979.384</x:v>
      </x:c>
      <x:c r="O98" s="68" t="str">
        <x:v>672151861267.1616</x:v>
      </x:c>
      <x:c r="P98" s="68" t="str">
        <x:v>33014841393.22408</x:v>
      </x:c>
      <x:c r="Q98" s="68" t="str">
        <x:v>37211330440.244995</x:v>
      </x:c>
      <x:c r="R98" s="68" t="str">
        <x:v>4196489047.020916</x:v>
      </x:c>
      <x:c r="S98" s="68" t="str">
        <x:v>24046905786.56586</x:v>
      </x:c>
      <x:c r="T98" s="66" t="str">
        <x:v>-9.545612007836905</x:v>
      </x:c>
      <x:c r="U98" s="66" t="str">
        <x:v>0.02048904397897375</x:v>
      </x:c>
      <x:c r="V98" s="66" t="str">
        <x:v>-1.6469160092360973</x:v>
      </x:c>
      <x:c r="W98" s="68" t="str">
        <x:v>-3585563596.266716</x:v>
      </x:c>
      <x:c r="X98" s="68" t="str">
        <x:v>7696182.30376447</x:v>
      </x:c>
      <x:c r="Y98" s="68" t="str">
        <x:v>-618621633.0579674</x:v>
      </x:c>
      <x:c r="Z98" s="66" t="str">
        <x:v>6.468828781862625</x:v>
      </x:c>
      <x:c r="AA98" s="66" t="str">
        <x:v>-0.015623496003947647</x:v>
      </x:c>
      <x:c r="AB98" s="66" t="str">
        <x:v>1.2114214357404645</x:v>
      </x:c>
      <x:c r="AC98" s="68" t="str">
        <x:v>-3464312653.397793</x:v>
      </x:c>
      <x:c r="AD98" s="68" t="str">
        <x:v>-58293722.53313596</x:v>
      </x:c>
      <x:c r="AE98" s="68" t="str">
        <x:v>-62957220.33578681</x:v>
      </x:c>
      <x:c r="AF98" s="68" t="str">
        <x:v>6770347.455754109</x:v>
      </x:c>
      <x:c r="AG98" s="68" t="str">
        <x:v>925834.8480103649</x:v>
      </x:c>
      <x:c r="AH98" s="70" t="str">
        <x:v>104000000.0</x:v>
      </x:c>
      <x:c r="AI98" s="70" t="str">
        <x:v>7000000.0</x:v>
      </x:c>
      <x:c r="AJ98" s="70" t="str">
        <x:v>630000000.0</x:v>
      </x:c>
      <x:c r="AK98" s="68" t="str">
        <x:v>299373000000.0</x:v>
      </x:c>
      <x:c r="AL98" s="66" t="str">
        <x:v>0.18613243120519987</x:v>
      </x:c>
      <x:c r="AM98" s="70" t="str">
        <x:v>49.0</x:v>
      </x:c>
      <x:c r="AN98" s="70" t="str">
        <x:v>68.0</x:v>
      </x:c>
      <x:c r="AO98" s="66" t="str">
        <x:v>72.05882352941177</x:v>
      </x:c>
      <x:c r="AP98" s="14" t="str">
        <x:v>Medium</x:v>
      </x:c>
      <x:c r="AQ98" s="47" t="str">
        <x:v>Issuer facility-to-FEMA county match</x:v>
      </x:c>
      <x:c r="AR98" s="66" t="str">
        <x:v>0.18613243120519987</x:v>
      </x:c>
      <x:c r="AS98" s="66" t="str">
        <x:v>7.579869737287252</x:v>
      </x:c>
      <x:c r="AT98" s="66" t="str">
        <x:v>7.251231109814821</x:v>
      </x:c>
      <x:c r="AU98" s="66" t="str">
        <x:v>5.418008975739499</x:v>
      </x:c>
      <x:c r="AV98" s="66" t="str">
        <x:v>1.7999999999999998</x:v>
      </x:c>
      <x:c r="AW98" s="72" t="str">
        <x:v>0.5</x:v>
      </x:c>
      <x:c r="AX98" s="72" t="str">
        <x:v>0.7</x:v>
      </x:c>
      <x:c r="AY98" s="72" t="str">
        <x:v>0.25</x:v>
      </x:c>
      <x:c r="AZ98" s="72" t="str">
        <x:v>0.0015</x:v>
      </x:c>
      <x:c r="BA98" s="72" t="str">
        <x:v>0.05</x:v>
      </x:c>
      <x:c r="BB98" s="72" t="str">
        <x:v>0.27</x:v>
      </x:c>
      <x:c r="BC98" s="72" t="str">
        <x:v>0.7</x:v>
      </x:c>
      <x:c r="BD98" s="72" t="str">
        <x:v>0.05</x:v>
      </x:c>
      <x:c r="BE98" s="72" t="str">
        <x:v>0.15</x:v>
      </x:c>
      <x:c r="BF98" s="14" t="str">
        <x:v>1.0</x:v>
      </x:c>
      <x:c r="BG98" s="72" t="str">
        <x:v>0.35</x:v>
      </x:c>
      <x:c r="BH98" s="74" t="str">
        <x:v>1.0456609582451413</x:v>
      </x:c>
      <x:c r="BI98" s="47" t="str">
        <x:v>Common scenario elasticity + issuer SEC CapEx/CFO dependency scale</x:v>
      </x:c>
      <x:c r="BJ98" s="47" t="str">
        <x:v>Modeled estimate using observed inputs + disclosed assumptions</x:v>
      </x:c>
      <x:c r="BK98" s="14" t="str">
        <x:v>False</x:v>
      </x:c>
      <x:c r="BL98" s="14" t="str">
        <x:v>False</x:v>
      </x:c>
      <x:c r="BM98" s="14" t="str">
        <x:v>False</x:v>
      </x:c>
      <x:c r="BN98" s="47" t="str">
        <x:v>Conditional scenario sensitivity; not a forecast or probability</x:v>
      </x:c>
      <x:c r="BO98" s="66" t="str">
        <x:v>92.88101676939962</x:v>
      </x:c>
    </x:row>
    <x:row r="99">
      <x:c r="A99" s="14" t="str">
        <x:v>XOM</x:v>
      </x:c>
      <x:c r="B99" s="14" t="str">
        <x:v>Energy</x:v>
      </x:c>
      <x:c r="C99" s="14" t="str">
        <x:v>cp_vs_delayed</x:v>
      </x:c>
      <x:c r="D99" s="47" t="str">
        <x:v>Current Policies vs Delayed Transition</x:v>
      </x:c>
      <x:c r="E99" s="14" t="str">
        <x:v>CP vs delayed</x:v>
      </x:c>
      <x:c r="F99" s="14" t="str">
        <x:v>current_policies</x:v>
      </x:c>
      <x:c r="G99" s="14" t="str">
        <x:v>delayed_transition</x:v>
      </x:c>
      <x:c r="H99" s="14" t="str">
        <x:v>2050</x:v>
      </x:c>
      <x:c r="I99" s="14" t="str">
        <x:v>base</x:v>
      </x:c>
      <x:c r="J99" s="14" t="str">
        <x:v>True</x:v>
      </x:c>
      <x:c r="K99" s="14" t="str">
        <x:v>CFP-2026-003-R17-20260804T234500Z</x:v>
      </x:c>
      <x:c r="L9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99" s="66" t="str">
        <x:v>36.47822813752721</x:v>
      </x:c>
      <x:c r="N99" s="68" t="str">
        <x:v>489044074886.40845</x:v>
      </x:c>
      <x:c r="O99" s="68" t="str">
        <x:v>667438688216.532</x:v>
      </x:c>
      <x:c r="P99" s="68" t="str">
        <x:v>20390307522.297176</x:v>
      </x:c>
      <x:c r="Q99" s="68" t="str">
        <x:v>36852965864.99589</x:v>
      </x:c>
      <x:c r="R99" s="68" t="str">
        <x:v>16462658342.698711</x:v>
      </x:c>
      <x:c r="S99" s="68" t="str">
        <x:v>24046905786.56586</x:v>
      </x:c>
      <x:c r="T99" s="66" t="str">
        <x:v>-41.062459884879985</x:v>
      </x:c>
      <x:c r="U99" s="66" t="str">
        <x:v>0.058283338667173265</x:v>
      </x:c>
      <x:c r="V99" s="66" t="str">
        <x:v>-2.823284587261881</x:v>
      </x:c>
      <x:c r="W99" s="68" t="str">
        <x:v>-15424056751.469803</x:v>
      </x:c>
      <x:c r="X99" s="68" t="str">
        <x:v>21892636.870462596</x:v>
      </x:c>
      <x:c r="Y99" s="68" t="str">
        <x:v>-1060494228.0993726</x:v>
      </x:c>
      <x:c r="Z99" s="66" t="str">
        <x:v>33.88353317959778</x:v>
      </x:c>
      <x:c r="AA99" s="66" t="str">
        <x:v>-0.056397201009804415</x:v>
      </x:c>
      <x:c r="AB99" s="66" t="str">
        <x:v>2.651092158939245</x:v>
      </x:c>
      <x:c r="AC99" s="68" t="str">
        <x:v>-14580093638.90983</x:v>
      </x:c>
      <x:c r="AD99" s="68" t="str">
        <x:v>-490676228.23254234</x:v>
      </x:c>
      <x:c r="AE99" s="68" t="str">
        <x:v>-353286884.3274305</x:v>
      </x:c>
      <x:c r="AF99" s="68" t="str">
        <x:v>18806520.710428074</x:v>
      </x:c>
      <x:c r="AG99" s="68" t="str">
        <x:v>3086116.1600345373</x:v>
      </x:c>
      <x:c r="AH99" s="70" t="str">
        <x:v>104000000.0</x:v>
      </x:c>
      <x:c r="AI99" s="70" t="str">
        <x:v>7000000.0</x:v>
      </x:c>
      <x:c r="AJ99" s="70" t="str">
        <x:v>630000000.0</x:v>
      </x:c>
      <x:c r="AK99" s="68" t="str">
        <x:v>299373000000.0</x:v>
      </x:c>
      <x:c r="AL99" s="66" t="str">
        <x:v>0.18613243120519987</x:v>
      </x:c>
      <x:c r="AM99" s="70" t="str">
        <x:v>49.0</x:v>
      </x:c>
      <x:c r="AN99" s="70" t="str">
        <x:v>68.0</x:v>
      </x:c>
      <x:c r="AO99" s="66" t="str">
        <x:v>72.05882352941177</x:v>
      </x:c>
      <x:c r="AP99" s="14" t="str">
        <x:v>Medium</x:v>
      </x:c>
      <x:c r="AQ99" s="47" t="str">
        <x:v>Issuer facility-to-FEMA county match</x:v>
      </x:c>
      <x:c r="AR99" s="66" t="str">
        <x:v>0.18613243120519987</x:v>
      </x:c>
      <x:c r="AS99" s="66" t="str">
        <x:v>7.579869737287252</x:v>
      </x:c>
      <x:c r="AT99" s="66" t="str">
        <x:v>7.251231109814821</x:v>
      </x:c>
      <x:c r="AU99" s="66" t="str">
        <x:v>5.418008975739499</x:v>
      </x:c>
      <x:c r="AV99" s="66" t="str">
        <x:v>1.7999999999999998</x:v>
      </x:c>
      <x:c r="AW99" s="72" t="str">
        <x:v>0.75</x:v>
      </x:c>
      <x:c r="AX99" s="72" t="str">
        <x:v>0.5</x:v>
      </x:c>
      <x:c r="AY99" s="72" t="str">
        <x:v>0.5</x:v>
      </x:c>
      <x:c r="AZ99" s="72" t="str">
        <x:v>0.003</x:v>
      </x:c>
      <x:c r="BA99" s="72" t="str">
        <x:v>0.03</x:v>
      </x:c>
      <x:c r="BB99" s="72" t="str">
        <x:v>0.45</x:v>
      </x:c>
      <x:c r="BC99" s="72" t="str">
        <x:v>0.5</x:v>
      </x:c>
      <x:c r="BD99" s="72" t="str">
        <x:v>0.1</x:v>
      </x:c>
      <x:c r="BE99" s="72" t="str">
        <x:v>0.25</x:v>
      </x:c>
      <x:c r="BF99" s="14" t="str">
        <x:v>1.0</x:v>
      </x:c>
      <x:c r="BG99" s="72" t="str">
        <x:v>0.6</x:v>
      </x:c>
      <x:c r="BH99" s="74" t="str">
        <x:v>1.0456609582451413</x:v>
      </x:c>
      <x:c r="BI99" s="47" t="str">
        <x:v>Common scenario elasticity + issuer SEC CapEx/CFO dependency scale</x:v>
      </x:c>
      <x:c r="BJ99" s="47" t="str">
        <x:v>Modeled estimate using observed inputs + disclosed assumptions</x:v>
      </x:c>
      <x:c r="BK99" s="14" t="str">
        <x:v>False</x:v>
      </x:c>
      <x:c r="BL99" s="14" t="str">
        <x:v>False</x:v>
      </x:c>
      <x:c r="BM99" s="14" t="str">
        <x:v>False</x:v>
      </x:c>
      <x:c r="BN99" s="47" t="str">
        <x:v>Conditional scenario sensitivity; not a forecast or probability</x:v>
      </x:c>
      <x:c r="BO99" s="66" t="str">
        <x:v>73.27176016619397</x:v>
      </x:c>
    </x:row>
    <x:row r="100">
      <x:c r="A100" s="14" t="str">
        <x:v>XOM</x:v>
      </x:c>
      <x:c r="B100" s="14" t="str">
        <x:v>Energy</x:v>
      </x:c>
      <x:c r="C100" s="14" t="str">
        <x:v>cp_vs_delayed</x:v>
      </x:c>
      <x:c r="D100" s="47" t="str">
        <x:v>Current Policies vs Delayed Transition</x:v>
      </x:c>
      <x:c r="E100" s="14" t="str">
        <x:v>CP vs delayed</x:v>
      </x:c>
      <x:c r="F100" s="14" t="str">
        <x:v>current_policies</x:v>
      </x:c>
      <x:c r="G100" s="14" t="str">
        <x:v>delayed_transition</x:v>
      </x:c>
      <x:c r="H100" s="14" t="str">
        <x:v>2050</x:v>
      </x:c>
      <x:c r="I100" s="14" t="str">
        <x:v>high</x:v>
      </x:c>
      <x:c r="J100" s="14" t="str">
        <x:v>True</x:v>
      </x:c>
      <x:c r="K100" s="14" t="str">
        <x:v>CFP-2026-003-R17-20260804T234500Z</x:v>
      </x:c>
      <x:c r="L10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0" s="66" t="str">
        <x:v>163.4960691058577</x:v>
      </x:c>
      <x:c r="N100" s="68" t="str">
        <x:v>249856918064.80286</x:v>
      </x:c>
      <x:c r="O100" s="68" t="str">
        <x:v>658363157489.7992</x:v>
      </x:c>
      <x:c r="P100" s="68" t="str">
        <x:v>0.0</x:v>
      </x:c>
      <x:c r="Q100" s="68" t="str">
        <x:v>36179337989.60489</x:v>
      </x:c>
      <x:c r="R100" s="68" t="str">
        <x:v>36179337989.60489</x:v>
      </x:c>
      <x:c r="S100" s="68" t="str">
        <x:v>24046905786.56586</x:v>
      </x:c>
      <x:c r="T100" s="66" t="str">
        <x:v>-131.1657147588829</x:v>
      </x:c>
      <x:c r="U100" s="66" t="str">
        <x:v>0.12091842513067971</x:v>
      </x:c>
      <x:c r="V100" s="66" t="str">
        <x:v>-4.705474312103135</x:v>
      </x:c>
      <x:c r="W100" s="68" t="str">
        <x:v>-49269026598.98996</x:v>
      </x:c>
      <x:c r="X100" s="68" t="str">
        <x:v>45419895.854819596</x:v>
      </x:c>
      <x:c r="Y100" s="68" t="str">
        <x:v>-1767490380.1656213</x:v>
      </x:c>
      <x:c r="Z100" s="66" t="str">
        <x:v>158.0290354162752</x:v>
      </x:c>
      <x:c r="AA100" s="66" t="str">
        <x:v>-0.14595657179565025</x:v>
      </x:c>
      <x:c r="AB100" s="66" t="str">
        <x:v>5.61299026137814</x:v>
      </x:c>
      <x:c r="AC100" s="68" t="str">
        <x:v>-45332909548.74773</x:v>
      </x:c>
      <x:c r="AD100" s="68" t="str">
        <x:v>-2288440145.489669</x:v>
      </x:c>
      <x:c r="AE100" s="68" t="str">
        <x:v>-1647676904.752562</x:v>
      </x:c>
      <x:c r="AF100" s="68" t="str">
        <x:v>35544324.14270908</x:v>
      </x:c>
      <x:c r="AG100" s="68" t="str">
        <x:v>9875571.71211052</x:v>
      </x:c>
      <x:c r="AH100" s="70" t="str">
        <x:v>104000000.0</x:v>
      </x:c>
      <x:c r="AI100" s="70" t="str">
        <x:v>7000000.0</x:v>
      </x:c>
      <x:c r="AJ100" s="70" t="str">
        <x:v>630000000.0</x:v>
      </x:c>
      <x:c r="AK100" s="68" t="str">
        <x:v>299373000000.0</x:v>
      </x:c>
      <x:c r="AL100" s="66" t="str">
        <x:v>0.18613243120519987</x:v>
      </x:c>
      <x:c r="AM100" s="70" t="str">
        <x:v>49.0</x:v>
      </x:c>
      <x:c r="AN100" s="70" t="str">
        <x:v>68.0</x:v>
      </x:c>
      <x:c r="AO100" s="66" t="str">
        <x:v>72.05882352941177</x:v>
      </x:c>
      <x:c r="AP100" s="14" t="str">
        <x:v>Medium</x:v>
      </x:c>
      <x:c r="AQ100" s="47" t="str">
        <x:v>Issuer facility-to-FEMA county match</x:v>
      </x:c>
      <x:c r="AR100" s="66" t="str">
        <x:v>0.18613243120519987</x:v>
      </x:c>
      <x:c r="AS100" s="66" t="str">
        <x:v>7.579869737287252</x:v>
      </x:c>
      <x:c r="AT100" s="66" t="str">
        <x:v>7.251231109814821</x:v>
      </x:c>
      <x:c r="AU100" s="66" t="str">
        <x:v>5.418008975739499</x:v>
      </x:c>
      <x:c r="AV100" s="66" t="str">
        <x:v>1.7999999999999998</x:v>
      </x:c>
      <x:c r="AW100" s="72" t="str">
        <x:v>1.0</x:v>
      </x:c>
      <x:c r="AX100" s="72" t="str">
        <x:v>0.3</x:v>
      </x:c>
      <x:c r="AY100" s="72" t="str">
        <x:v>0.75</x:v>
      </x:c>
      <x:c r="AZ100" s="72" t="str">
        <x:v>0.006</x:v>
      </x:c>
      <x:c r="BA100" s="72" t="str">
        <x:v>0.01</x:v>
      </x:c>
      <x:c r="BB100" s="72" t="str">
        <x:v>0.6075</x:v>
      </x:c>
      <x:c r="BC100" s="72" t="str">
        <x:v>0.3</x:v>
      </x:c>
      <x:c r="BD100" s="72" t="str">
        <x:v>0.2</x:v>
      </x:c>
      <x:c r="BE100" s="72" t="str">
        <x:v>0.4</x:v>
      </x:c>
      <x:c r="BF100" s="14" t="str">
        <x:v>1.0</x:v>
      </x:c>
      <x:c r="BG100" s="72" t="str">
        <x:v>1.0</x:v>
      </x:c>
      <x:c r="BH100" s="74" t="str">
        <x:v>1.0456609582451413</x:v>
      </x:c>
      <x:c r="BI100" s="47" t="str">
        <x:v>Common scenario elasticity + issuer SEC CapEx/CFO dependency scale</x:v>
      </x:c>
      <x:c r="BJ100" s="47" t="str">
        <x:v>Modeled estimate using observed inputs + disclosed assumptions</x:v>
      </x:c>
      <x:c r="BK100" s="14" t="str">
        <x:v>False</x:v>
      </x:c>
      <x:c r="BL100" s="14" t="str">
        <x:v>False</x:v>
      </x:c>
      <x:c r="BM100" s="14" t="str">
        <x:v>True</x:v>
      </x:c>
      <x:c r="BN100" s="47" t="str">
        <x:v>Extreme relative scenario differential; denominator-sensitive</x:v>
      </x:c>
      <x:c r="BO100" s="66" t="str">
        <x:v>37.95123029324043</x:v>
      </x:c>
    </x:row>
    <x:row r="101">
      <x:c r="A101" s="14" t="str">
        <x:v>AAPL</x:v>
      </x:c>
      <x:c r="B101" s="14" t="str">
        <x:v>Technology</x:v>
      </x:c>
      <x:c r="C101" s="14" t="str">
        <x:v>fragmented_vs_baseline</x:v>
      </x:c>
      <x:c r="D101" s="47" t="str">
        <x:v>Fragmented World vs baseline</x:v>
      </x:c>
      <x:c r="E101" s="14" t="str">
        <x:v>Fragmented vs baseline</x:v>
      </x:c>
      <x:c r="F101" s="14" t="str">
        <x:v>fragmented_world</x:v>
      </x:c>
      <x:c r="G101" s="14" t="str">
        <x:v>baseline</x:v>
      </x:c>
      <x:c r="H101" s="14" t="str">
        <x:v>2050</x:v>
      </x:c>
      <x:c r="I101" s="14" t="str">
        <x:v>low</x:v>
      </x:c>
      <x:c r="J101" s="14" t="str">
        <x:v>True</x:v>
      </x:c>
      <x:c r="K101" s="14" t="str">
        <x:v>CFP-2026-003-R17-20260804T234500Z</x:v>
      </x:c>
      <x:c r="L10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1" s="66" t="str">
        <x:v>-0.9265118117452231</x:v>
      </x:c>
      <x:c r="N101" s="68" t="str">
        <x:v>1511832209193.6655</x:v>
      </x:c>
      <x:c r="O101" s="68" t="str">
        <x:v>1497824905201.7175</x:v>
      </x:c>
      <x:c r="P101" s="68" t="str">
        <x:v>190556654157.15817</x:v>
      </x:c>
      <x:c r="Q101" s="68" t="str">
        <x:v>187169721625.2621</x:v>
      </x:c>
      <x:c r="R101" s="68" t="str">
        <x:v>-3386932531.8960876</x:v>
      </x:c>
      <x:c r="S101" s="68" t="str">
        <x:v>102784466009.31221</x:v>
      </x:c>
      <x:c r="T101" s="66" t="str">
        <x:v>0.0012742848089595646</x:v>
      </x:c>
      <x:c r="U101" s="66" t="str">
        <x:v>0.05676246140585995</x:v>
      </x:c>
      <x:c r="V101" s="66" t="str">
        <x:v>1.7193520030139395</x:v>
      </x:c>
      <x:c r="W101" s="68" t="str">
        <x:v>2428234.496386281</x:v>
      </x:c>
      <x:c r="X101" s="68" t="str">
        <x:v>108164647.27225493</x:v>
      </x:c>
      <x:c r="Y101" s="68" t="str">
        <x:v>3276339650.1274443</x:v>
      </x:c>
      <x:c r="Z101" s="66" t="str">
        <x:v>-0.0008884174182232663</x:v>
      </x:c>
      <x:c r="AA101" s="66" t="str">
        <x:v>-0.053918895795643164</x:v>
      </x:c>
      <x:c r="AB101" s="66" t="str">
        <x:v>-0.8717044985313523</x:v>
      </x:c>
      <x:c r="AC101" s="68" t="str">
        <x:v>374174.1760081588</x:v>
      </x:c>
      <x:c r="AD101" s="68" t="str">
        <x:v>5592.277087078462</x:v>
      </x:c>
      <x:c r="AE101" s="68" t="str">
        <x:v>2048468.0432910437</x:v>
      </x:c>
      <x:c r="AF101" s="68" t="str">
        <x:v>1878229.4378731854</x:v>
      </x:c>
      <x:c r="AG101" s="68" t="str">
        <x:v>106286417.83438174</x:v>
      </x:c>
      <x:c r="AH101" s="70" t="str">
        <x:v>55200.0</x:v>
      </x:c>
      <x:c r="AI101" s="70" t="str">
        <x:v>3300.0</x:v>
      </x:c>
      <x:c r="AJ101" s="70" t="str">
        <x:v>15110000.0</x:v>
      </x:c>
      <x:c r="AK101" s="68" t="str">
        <x:v>50159000000.0</x:v>
      </x:c>
      <x:c r="AL101" s="66" t="str">
        <x:v>0.18089619337783003</x:v>
      </x:c>
      <x:c r="AM101" s="70" t="str">
        <x:v>0.0</x:v>
      </x:c>
      <x:c r="AN101" s="70" t="str">
        <x:v>0.0</x:v>
      </x:c>
      <x:c r="AO101" s="66" t="str"/>
      <x:c r="AP101" s="14" t="str">
        <x:v>Unverified</x:v>
      </x:c>
      <x:c r="AQ101" s="47" t="str">
        <x:v>Proxy fallback; no issuer facilities in governed match file</x:v>
      </x:c>
      <x:c r="AR101" s="66" t="str"/>
      <x:c r="AS101" s="66" t="str">
        <x:v>7.43690764334572</x:v>
      </x:c>
      <x:c r="AT101" s="66" t="str">
        <x:v>0.0</x:v>
      </x:c>
      <x:c r="AU101" s="66" t="str">
        <x:v>9.468635607765986</x:v>
      </x:c>
      <x:c r="AV101" s="66" t="str">
        <x:v>2.5</x:v>
      </x:c>
      <x:c r="AW101" s="72" t="str">
        <x:v>0.5</x:v>
      </x:c>
      <x:c r="AX101" s="72" t="str">
        <x:v>0.7</x:v>
      </x:c>
      <x:c r="AY101" s="72" t="str">
        <x:v>0.25</x:v>
      </x:c>
      <x:c r="AZ101" s="72" t="str">
        <x:v>0.01</x:v>
      </x:c>
      <x:c r="BA101" s="72" t="str">
        <x:v>0.05</x:v>
      </x:c>
      <x:c r="BB101" s="72" t="str">
        <x:v>0.06</x:v>
      </x:c>
      <x:c r="BC101" s="72" t="str">
        <x:v>0.7</x:v>
      </x:c>
      <x:c r="BD101" s="72" t="str">
        <x:v>0.05</x:v>
      </x:c>
      <x:c r="BE101" s="72" t="str">
        <x:v>0.15</x:v>
      </x:c>
      <x:c r="BF101" s="14" t="str">
        <x:v>1.15</x:v>
      </x:c>
      <x:c r="BG101" s="72" t="str">
        <x:v>0.35</x:v>
      </x:c>
      <x:c r="BH101" s="74" t="str">
        <x:v>0.6140542867906926</x:v>
      </x:c>
      <x:c r="BI101" s="47" t="str">
        <x:v>Common scenario elasticity + issuer SEC CapEx/CFO dependency scale</x:v>
      </x:c>
      <x:c r="BJ101" s="47" t="str">
        <x:v>Modeled estimate using observed inputs + disclosed assumptions</x:v>
      </x:c>
      <x:c r="BK101" s="14" t="str">
        <x:v>False</x:v>
      </x:c>
      <x:c r="BL101" s="14" t="str">
        <x:v>False</x:v>
      </x:c>
      <x:c r="BM101" s="14" t="str">
        <x:v>False</x:v>
      </x:c>
      <x:c r="BN101" s="47" t="str">
        <x:v>Conditional scenario sensitivity; not a forecast or probability</x:v>
      </x:c>
      <x:c r="BO101" s="66" t="str">
        <x:v>100.93517633091176</x:v>
      </x:c>
    </x:row>
    <x:row r="102">
      <x:c r="A102" s="14" t="str">
        <x:v>AAPL</x:v>
      </x:c>
      <x:c r="B102" s="14" t="str">
        <x:v>Technology</x:v>
      </x:c>
      <x:c r="C102" s="14" t="str">
        <x:v>fragmented_vs_baseline</x:v>
      </x:c>
      <x:c r="D102" s="47" t="str">
        <x:v>Fragmented World vs baseline</x:v>
      </x:c>
      <x:c r="E102" s="14" t="str">
        <x:v>Fragmented vs baseline</x:v>
      </x:c>
      <x:c r="F102" s="14" t="str">
        <x:v>fragmented_world</x:v>
      </x:c>
      <x:c r="G102" s="14" t="str">
        <x:v>baseline</x:v>
      </x:c>
      <x:c r="H102" s="14" t="str">
        <x:v>2050</x:v>
      </x:c>
      <x:c r="I102" s="14" t="str">
        <x:v>base</x:v>
      </x:c>
      <x:c r="J102" s="14" t="str">
        <x:v>True</x:v>
      </x:c>
      <x:c r="K102" s="14" t="str">
        <x:v>CFP-2026-003-R17-20260804T234500Z</x:v>
      </x:c>
      <x:c r="L10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2" s="66" t="str">
        <x:v>-1.6778831295729324</x:v>
      </x:c>
      <x:c r="N102" s="68" t="str">
        <x:v>1511832209193.6655</x:v>
      </x:c>
      <x:c r="O102" s="68" t="str">
        <x:v>1486465431608.1553</x:v>
      </x:c>
      <x:c r="P102" s="68" t="str">
        <x:v>190556654157.15817</x:v>
      </x:c>
      <x:c r="Q102" s="68" t="str">
        <x:v>184567449636.8617</x:v>
      </x:c>
      <x:c r="R102" s="68" t="str">
        <x:v>-5989204520.296478</x:v>
      </x:c>
      <x:c r="S102" s="68" t="str">
        <x:v>102784466009.31221</x:v>
      </x:c>
      <x:c r="T102" s="66" t="str">
        <x:v>0.00688346442223006</x:v>
      </x:c>
      <x:c r="U102" s="66" t="str">
        <x:v>0.1886606190857737</x:v>
      </x:c>
      <x:c r="V102" s="66" t="str">
        <x:v>2.947460576595325</x:v>
      </x:c>
      <x:c r="W102" s="68" t="str">
        <x:v>13116899.493099961</x:v>
      </x:c>
      <x:c r="X102" s="68" t="str">
        <x:v>359505363.4420313</x:v>
      </x:c>
      <x:c r="Y102" s="68" t="str">
        <x:v>5616582257.361333</x:v>
      </x:c>
      <x:c r="Z102" s="66" t="str">
        <x:v>-0.004134704399257017</x:v>
      </x:c>
      <x:c r="AA102" s="66" t="str">
        <x:v>-0.17939785626276084</x:v>
      </x:c>
      <x:c r="AB102" s="66" t="str">
        <x:v>-1.4943505689109131</x:v>
      </x:c>
      <x:c r="AC102" s="68" t="str">
        <x:v>1574769.6785133244</x:v>
      </x:c>
      <x:c r="AD102" s="68" t="str">
        <x:v>47071.919738170014</x:v>
      </x:c>
      <x:c r="AE102" s="68" t="str">
        <x:v>11495057.894848468</x:v>
      </x:c>
      <x:c r="AF102" s="68" t="str">
        <x:v>5217303.994092181</x:v>
      </x:c>
      <x:c r="AG102" s="68" t="str">
        <x:v>354288059.44793916</x:v>
      </x:c>
      <x:c r="AH102" s="70" t="str">
        <x:v>55200.0</x:v>
      </x:c>
      <x:c r="AI102" s="70" t="str">
        <x:v>3300.0</x:v>
      </x:c>
      <x:c r="AJ102" s="70" t="str">
        <x:v>15110000.0</x:v>
      </x:c>
      <x:c r="AK102" s="68" t="str">
        <x:v>50159000000.0</x:v>
      </x:c>
      <x:c r="AL102" s="66" t="str">
        <x:v>0.18089619337783003</x:v>
      </x:c>
      <x:c r="AM102" s="70" t="str">
        <x:v>0.0</x:v>
      </x:c>
      <x:c r="AN102" s="70" t="str">
        <x:v>0.0</x:v>
      </x:c>
      <x:c r="AO102" s="66" t="str"/>
      <x:c r="AP102" s="14" t="str">
        <x:v>Unverified</x:v>
      </x:c>
      <x:c r="AQ102" s="47" t="str">
        <x:v>Proxy fallback; no issuer facilities in governed match file</x:v>
      </x:c>
      <x:c r="AR102" s="66" t="str"/>
      <x:c r="AS102" s="66" t="str">
        <x:v>7.43690764334572</x:v>
      </x:c>
      <x:c r="AT102" s="66" t="str">
        <x:v>0.0</x:v>
      </x:c>
      <x:c r="AU102" s="66" t="str">
        <x:v>9.468635607765986</x:v>
      </x:c>
      <x:c r="AV102" s="66" t="str">
        <x:v>2.5</x:v>
      </x:c>
      <x:c r="AW102" s="72" t="str">
        <x:v>0.75</x:v>
      </x:c>
      <x:c r="AX102" s="72" t="str">
        <x:v>0.5</x:v>
      </x:c>
      <x:c r="AY102" s="72" t="str">
        <x:v>0.5</x:v>
      </x:c>
      <x:c r="AZ102" s="72" t="str">
        <x:v>0.02</x:v>
      </x:c>
      <x:c r="BA102" s="72" t="str">
        <x:v>0.03</x:v>
      </x:c>
      <x:c r="BB102" s="72" t="str">
        <x:v>0.1</x:v>
      </x:c>
      <x:c r="BC102" s="72" t="str">
        <x:v>0.5</x:v>
      </x:c>
      <x:c r="BD102" s="72" t="str">
        <x:v>0.1</x:v>
      </x:c>
      <x:c r="BE102" s="72" t="str">
        <x:v>0.25</x:v>
      </x:c>
      <x:c r="BF102" s="14" t="str">
        <x:v>1.15</x:v>
      </x:c>
      <x:c r="BG102" s="72" t="str">
        <x:v>0.6</x:v>
      </x:c>
      <x:c r="BH102" s="74" t="str">
        <x:v>0.6140542867906926</x:v>
      </x:c>
      <x:c r="BI102" s="47" t="str">
        <x:v>Common scenario elasticity + issuer SEC CapEx/CFO dependency scale</x:v>
      </x:c>
      <x:c r="BJ102" s="47" t="str">
        <x:v>Modeled estimate using observed inputs + disclosed assumptions</x:v>
      </x:c>
      <x:c r="BK102" s="14" t="str">
        <x:v>False</x:v>
      </x:c>
      <x:c r="BL102" s="14" t="str">
        <x:v>False</x:v>
      </x:c>
      <x:c r="BM102" s="14" t="str">
        <x:v>False</x:v>
      </x:c>
      <x:c r="BN102" s="47" t="str">
        <x:v>Conditional scenario sensitivity; not a forecast or probability</x:v>
      </x:c>
      <x:c r="BO102" s="66" t="str">
        <x:v>101.70651648172316</x:v>
      </x:c>
    </x:row>
    <x:row r="103">
      <x:c r="A103" s="14" t="str">
        <x:v>AAPL</x:v>
      </x:c>
      <x:c r="B103" s="14" t="str">
        <x:v>Technology</x:v>
      </x:c>
      <x:c r="C103" s="14" t="str">
        <x:v>fragmented_vs_baseline</x:v>
      </x:c>
      <x:c r="D103" s="47" t="str">
        <x:v>Fragmented World vs baseline</x:v>
      </x:c>
      <x:c r="E103" s="14" t="str">
        <x:v>Fragmented vs baseline</x:v>
      </x:c>
      <x:c r="F103" s="14" t="str">
        <x:v>fragmented_world</x:v>
      </x:c>
      <x:c r="G103" s="14" t="str">
        <x:v>baseline</x:v>
      </x:c>
      <x:c r="H103" s="14" t="str">
        <x:v>2050</x:v>
      </x:c>
      <x:c r="I103" s="14" t="str">
        <x:v>high</x:v>
      </x:c>
      <x:c r="J103" s="14" t="str">
        <x:v>True</x:v>
      </x:c>
      <x:c r="K103" s="14" t="str">
        <x:v>CFP-2026-003-R17-20260804T234500Z</x:v>
      </x:c>
      <x:c r="L10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3" s="66" t="str">
        <x:v>-3.0787512546761375</x:v>
      </x:c>
      <x:c r="N103" s="68" t="str">
        <x:v>1511832209193.6655</x:v>
      </x:c>
      <x:c r="O103" s="68" t="str">
        <x:v>1465286656084.5176</x:v>
      </x:c>
      <x:c r="P103" s="68" t="str">
        <x:v>190556654157.15817</x:v>
      </x:c>
      <x:c r="Q103" s="68" t="str">
        <x:v>179993374149.58694</x:v>
      </x:c>
      <x:c r="R103" s="68" t="str">
        <x:v>-10563280007.571228</x:v>
      </x:c>
      <x:c r="S103" s="68" t="str">
        <x:v>102784466009.31221</x:v>
      </x:c>
      <x:c r="T103" s="66" t="str">
        <x:v>0.03081870014625017</x:v>
      </x:c>
      <x:c r="U103" s="66" t="str">
        <x:v>0.6001272953916846</x:v>
      </x:c>
      <x:c r="V103" s="66" t="str">
        <x:v>4.912434294325541</x:v>
      </x:c>
      <x:c r="W103" s="68" t="str">
        <x:v>58727083.85342154</x:v>
      </x:c>
      <x:c r="X103" s="68" t="str">
        <x:v>1143582494.7822397</x:v>
      </x:c>
      <x:c r="Y103" s="68" t="str">
        <x:v>9360970428.935555</x:v>
      </x:c>
      <x:c r="Z103" s="66" t="str">
        <x:v>-0.016267099467375163</x:v>
      </x:c>
      <x:c r="AA103" s="66" t="str">
        <x:v>-0.5718998736906038</x:v>
      </x:c>
      <x:c r="AB103" s="66" t="str">
        <x:v>-2.4905842815181582</x:v>
      </x:c>
      <x:c r="AC103" s="68" t="str">
        <x:v>4896325.988307773</x:v>
      </x:c>
      <x:c r="AD103" s="68" t="str">
        <x:v>219536.355454017</x:v>
      </x:c>
      <x:c r="AE103" s="68" t="str">
        <x:v>53611221.50965975</x:v>
      </x:c>
      <x:c r="AF103" s="68" t="str">
        <x:v>9860704.548834221</x:v>
      </x:c>
      <x:c r="AG103" s="68" t="str">
        <x:v>1133721790.2334054</x:v>
      </x:c>
      <x:c r="AH103" s="70" t="str">
        <x:v>55200.0</x:v>
      </x:c>
      <x:c r="AI103" s="70" t="str">
        <x:v>3300.0</x:v>
      </x:c>
      <x:c r="AJ103" s="70" t="str">
        <x:v>15110000.0</x:v>
      </x:c>
      <x:c r="AK103" s="68" t="str">
        <x:v>50159000000.0</x:v>
      </x:c>
      <x:c r="AL103" s="66" t="str">
        <x:v>0.18089619337783003</x:v>
      </x:c>
      <x:c r="AM103" s="70" t="str">
        <x:v>0.0</x:v>
      </x:c>
      <x:c r="AN103" s="70" t="str">
        <x:v>0.0</x:v>
      </x:c>
      <x:c r="AO103" s="66" t="str"/>
      <x:c r="AP103" s="14" t="str">
        <x:v>Unverified</x:v>
      </x:c>
      <x:c r="AQ103" s="47" t="str">
        <x:v>Proxy fallback; no issuer facilities in governed match file</x:v>
      </x:c>
      <x:c r="AR103" s="66" t="str"/>
      <x:c r="AS103" s="66" t="str">
        <x:v>7.43690764334572</x:v>
      </x:c>
      <x:c r="AT103" s="66" t="str">
        <x:v>0.0</x:v>
      </x:c>
      <x:c r="AU103" s="66" t="str">
        <x:v>9.468635607765986</x:v>
      </x:c>
      <x:c r="AV103" s="66" t="str">
        <x:v>2.5</x:v>
      </x:c>
      <x:c r="AW103" s="72" t="str">
        <x:v>1.0</x:v>
      </x:c>
      <x:c r="AX103" s="72" t="str">
        <x:v>0.3</x:v>
      </x:c>
      <x:c r="AY103" s="72" t="str">
        <x:v>0.75</x:v>
      </x:c>
      <x:c r="AZ103" s="72" t="str">
        <x:v>0.04</x:v>
      </x:c>
      <x:c r="BA103" s="72" t="str">
        <x:v>0.01</x:v>
      </x:c>
      <x:c r="BB103" s="72" t="str">
        <x:v>0.135</x:v>
      </x:c>
      <x:c r="BC103" s="72" t="str">
        <x:v>0.3</x:v>
      </x:c>
      <x:c r="BD103" s="72" t="str">
        <x:v>0.2</x:v>
      </x:c>
      <x:c r="BE103" s="72" t="str">
        <x:v>0.4</x:v>
      </x:c>
      <x:c r="BF103" s="14" t="str">
        <x:v>1.15</x:v>
      </x:c>
      <x:c r="BG103" s="72" t="str">
        <x:v>1.0</x:v>
      </x:c>
      <x:c r="BH103" s="74" t="str">
        <x:v>0.6140542867906926</x:v>
      </x:c>
      <x:c r="BI103" s="47" t="str">
        <x:v>Common scenario elasticity + issuer SEC CapEx/CFO dependency scale</x:v>
      </x:c>
      <x:c r="BJ103" s="47" t="str">
        <x:v>Modeled estimate using observed inputs + disclosed assumptions</x:v>
      </x:c>
      <x:c r="BK103" s="14" t="str">
        <x:v>False</x:v>
      </x:c>
      <x:c r="BL103" s="14" t="str">
        <x:v>False</x:v>
      </x:c>
      <x:c r="BM103" s="14" t="str">
        <x:v>False</x:v>
      </x:c>
      <x:c r="BN103" s="47" t="str">
        <x:v>Conditional scenario sensitivity; not a forecast or probability</x:v>
      </x:c>
      <x:c r="BO103" s="66" t="str">
        <x:v>103.17654930629922</x:v>
      </x:c>
    </x:row>
    <x:row r="104">
      <x:c r="A104" s="14" t="str">
        <x:v>CAT</x:v>
      </x:c>
      <x:c r="B104" s="14" t="str">
        <x:v>Industrials</x:v>
      </x:c>
      <x:c r="C104" s="14" t="str">
        <x:v>fragmented_vs_baseline</x:v>
      </x:c>
      <x:c r="D104" s="47" t="str">
        <x:v>Fragmented World vs baseline</x:v>
      </x:c>
      <x:c r="E104" s="14" t="str">
        <x:v>Fragmented vs baseline</x:v>
      </x:c>
      <x:c r="F104" s="14" t="str">
        <x:v>fragmented_world</x:v>
      </x:c>
      <x:c r="G104" s="14" t="str">
        <x:v>baseline</x:v>
      </x:c>
      <x:c r="H104" s="14" t="str">
        <x:v>2050</x:v>
      </x:c>
      <x:c r="I104" s="14" t="str">
        <x:v>low</x:v>
      </x:c>
      <x:c r="J104" s="14" t="str">
        <x:v>True</x:v>
      </x:c>
      <x:c r="K104" s="14" t="str">
        <x:v>CFP-2026-003-R17-20260804T234500Z</x:v>
      </x:c>
      <x:c r="L10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4" s="66" t="str">
        <x:v>-1.1016301957305408</x:v>
      </x:c>
      <x:c r="N104" s="68" t="str">
        <x:v>121641418108.2752</x:v>
      </x:c>
      <x:c r="O104" s="68" t="str">
        <x:v>120301379515.87961</x:v>
      </x:c>
      <x:c r="P104" s="68" t="str">
        <x:v>18326479866.126686</x:v>
      </x:c>
      <x:c r="Q104" s="68" t="str">
        <x:v>17892740461.82903</x:v>
      </x:c>
      <x:c r="R104" s="68" t="str">
        <x:v>-433739404.297657</x:v>
      </x:c>
      <x:c r="S104" s="68" t="str">
        <x:v>10636693843.707409</x:v>
      </x:c>
      <x:c r="T104" s="66" t="str">
        <x:v>0.23274421940933623</x:v>
      </x:c>
      <x:c r="U104" s="66" t="str">
        <x:v>0.06112360595200031</x:v>
      </x:c>
      <x:c r="V104" s="66" t="str">
        <x:v>2.072868217054263</x:v>
      </x:c>
      <x:c r="W104" s="68" t="str">
        <x:v>42653822.509625725</x:v>
      </x:c>
      <x:c r="X104" s="68" t="str">
        <x:v>11201805.33824395</x:v>
      </x:c>
      <x:c r="Y104" s="68" t="str">
        <x:v>379883776.44978875</x:v>
      </x:c>
      <x:c r="Z104" s="66" t="str">
        <x:v>-0.14153782368173484</x:v>
      </x:c>
      <x:c r="AA104" s="66" t="str">
        <x:v>-0.055772378677943824</x:v>
      </x:c>
      <x:c r="AB104" s="66" t="str">
        <x:v>-0.9043199933708634</x:v>
      </x:c>
      <x:c r="AC104" s="68" t="str">
        <x:v>4609392.023288914</x:v>
      </x:c>
      <x:c r="AD104" s="68" t="str">
        <x:v>1169294.3000254964</x:v>
      </x:c>
      <x:c r="AE104" s="68" t="str">
        <x:v>36875136.18631131</x:v>
      </x:c>
      <x:c r="AF104" s="68" t="str">
        <x:v>979879.973842523</x:v>
      </x:c>
      <x:c r="AG104" s="68" t="str">
        <x:v>10221925.364401428</x:v>
      </x:c>
      <x:c r="AH104" s="70" t="str">
        <x:v>680000.0</x:v>
      </x:c>
      <x:c r="AI104" s="70" t="str">
        <x:v>690000.0</x:v>
      </x:c>
      <x:c r="AJ104" s="70" t="str">
        <x:v>680000000.0</x:v>
      </x:c>
      <x:c r="AK104" s="68" t="str">
        <x:v>15140000000.0</x:v>
      </x:c>
      <x:c r="AL104" s="66" t="str">
        <x:v>0.1250652491518801</x:v>
      </x:c>
      <x:c r="AM104" s="70" t="str">
        <x:v>7.0</x:v>
      </x:c>
      <x:c r="AN104" s="70" t="str">
        <x:v>7.0</x:v>
      </x:c>
      <x:c r="AO104" s="66" t="str">
        <x:v>100.0</x:v>
      </x:c>
      <x:c r="AP104" s="14" t="str">
        <x:v>High</x:v>
      </x:c>
      <x:c r="AQ104" s="47" t="str">
        <x:v>Issuer facility-to-FEMA county match</x:v>
      </x:c>
      <x:c r="AR104" s="66" t="str">
        <x:v>0.1250652491518801</x:v>
      </x:c>
      <x:c r="AS104" s="66" t="str">
        <x:v>7.43690764334572</x:v>
      </x:c>
      <x:c r="AT104" s="66" t="str">
        <x:v>0.0</x:v>
      </x:c>
      <x:c r="AU104" s="66" t="str">
        <x:v>11.136677389433892</x:v>
      </x:c>
      <x:c r="AV104" s="66" t="str">
        <x:v>2.1999999999999997</x:v>
      </x:c>
      <x:c r="AW104" s="72" t="str">
        <x:v>0.5</x:v>
      </x:c>
      <x:c r="AX104" s="72" t="str">
        <x:v>0.7</x:v>
      </x:c>
      <x:c r="AY104" s="72" t="str">
        <x:v>0.25</x:v>
      </x:c>
      <x:c r="AZ104" s="72" t="str">
        <x:v>0.004</x:v>
      </x:c>
      <x:c r="BA104" s="72" t="str">
        <x:v>0.05</x:v>
      </x:c>
      <x:c r="BB104" s="72" t="str">
        <x:v>0.15</x:v>
      </x:c>
      <x:c r="BC104" s="72" t="str">
        <x:v>0.7</x:v>
      </x:c>
      <x:c r="BD104" s="72" t="str">
        <x:v>0.05</x:v>
      </x:c>
      <x:c r="BE104" s="72" t="str">
        <x:v>0.15</x:v>
      </x:c>
      <x:c r="BF104" s="14" t="str">
        <x:v>1.15</x:v>
      </x:c>
      <x:c r="BG104" s="72" t="str">
        <x:v>0.35</x:v>
      </x:c>
      <x:c r="BH104" s="74" t="str">
        <x:v>0.7403100775193798</x:v>
      </x:c>
      <x:c r="BI104" s="47" t="str">
        <x:v>Common scenario elasticity + issuer SEC CapEx/CFO dependency scale</x:v>
      </x:c>
      <x:c r="BJ104" s="47" t="str">
        <x:v>Modeled estimate using observed inputs + disclosed assumptions</x:v>
      </x:c>
      <x:c r="BK104" s="14" t="str">
        <x:v>False</x:v>
      </x:c>
      <x:c r="BL104" s="14" t="str">
        <x:v>False</x:v>
      </x:c>
      <x:c r="BM104" s="14" t="str">
        <x:v>False</x:v>
      </x:c>
      <x:c r="BN104" s="47" t="str">
        <x:v>Conditional scenario sensitivity; not a forecast or probability</x:v>
      </x:c>
      <x:c r="BO104" s="66" t="str">
        <x:v>101.11390126845446</x:v>
      </x:c>
    </x:row>
    <x:row r="105">
      <x:c r="A105" s="14" t="str">
        <x:v>CAT</x:v>
      </x:c>
      <x:c r="B105" s="14" t="str">
        <x:v>Industrials</x:v>
      </x:c>
      <x:c r="C105" s="14" t="str">
        <x:v>fragmented_vs_baseline</x:v>
      </x:c>
      <x:c r="D105" s="47" t="str">
        <x:v>Fragmented World vs baseline</x:v>
      </x:c>
      <x:c r="E105" s="14" t="str">
        <x:v>Fragmented vs baseline</x:v>
      </x:c>
      <x:c r="F105" s="14" t="str">
        <x:v>fragmented_world</x:v>
      </x:c>
      <x:c r="G105" s="14" t="str">
        <x:v>baseline</x:v>
      </x:c>
      <x:c r="H105" s="14" t="str">
        <x:v>2050</x:v>
      </x:c>
      <x:c r="I105" s="14" t="str">
        <x:v>base</x:v>
      </x:c>
      <x:c r="J105" s="14" t="str">
        <x:v>True</x:v>
      </x:c>
      <x:c r="K105" s="14" t="str">
        <x:v>CFP-2026-003-R17-20260804T234500Z</x:v>
      </x:c>
      <x:c r="L10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5" s="66" t="str">
        <x:v>-2.3943903310461367</x:v>
      </x:c>
      <x:c r="N105" s="68" t="str">
        <x:v>121641418108.2752</x:v>
      </x:c>
      <x:c r="O105" s="68" t="str">
        <x:v>118728847754.54326</x:v>
      </x:c>
      <x:c r="P105" s="68" t="str">
        <x:v>18326479866.126686</x:v>
      </x:c>
      <x:c r="Q105" s="68" t="str">
        <x:v>17402287657.32235</x:v>
      </x:c>
      <x:c r="R105" s="68" t="str">
        <x:v>-924192208.8043365</x:v>
      </x:c>
      <x:c r="S105" s="68" t="str">
        <x:v>10636693843.707409</x:v>
      </x:c>
      <x:c r="T105" s="66" t="str">
        <x:v>1.2886703071648746</x:v>
      </x:c>
      <x:c r="U105" s="66" t="str">
        <x:v>0.20077490949171914</x:v>
      </x:c>
      <x:c r="V105" s="66" t="str">
        <x:v>3.553488372093023</x:v>
      </x:c>
      <x:c r="W105" s="68" t="str">
        <x:v>236167904.38332367</x:v>
      </x:c>
      <x:c r="X105" s="68" t="str">
        <x:v>36794973.364233986</x:v>
      </x:c>
      <x:c r="Y105" s="68" t="str">
        <x:v>651229331.0567808</x:v>
      </x:c>
      <x:c r="Z105" s="66" t="str">
        <x:v>-0.6597876119140336</x:v>
      </x:c>
      <x:c r="AA105" s="66" t="str">
        <x:v>-0.18433987335349242</x:v>
      </x:c>
      <x:c r="AB105" s="66" t="str">
        <x:v>-1.550262845778613</x:v>
      </x:c>
      <x:c r="AC105" s="68" t="str">
        <x:v>19399336.619367037</x:v>
      </x:c>
      <x:c r="AD105" s="68" t="str">
        <x:v>9842310.490708275</x:v>
      </x:c>
      <x:c r="AE105" s="68" t="str">
        <x:v>206926257.27324834</x:v>
      </x:c>
      <x:c r="AF105" s="68" t="str">
        <x:v>2721888.8162292303</x:v>
      </x:c>
      <x:c r="AG105" s="68" t="str">
        <x:v>34073084.548004754</x:v>
      </x:c>
      <x:c r="AH105" s="70" t="str">
        <x:v>680000.0</x:v>
      </x:c>
      <x:c r="AI105" s="70" t="str">
        <x:v>690000.0</x:v>
      </x:c>
      <x:c r="AJ105" s="70" t="str">
        <x:v>680000000.0</x:v>
      </x:c>
      <x:c r="AK105" s="68" t="str">
        <x:v>15140000000.0</x:v>
      </x:c>
      <x:c r="AL105" s="66" t="str">
        <x:v>0.1250652491518801</x:v>
      </x:c>
      <x:c r="AM105" s="70" t="str">
        <x:v>7.0</x:v>
      </x:c>
      <x:c r="AN105" s="70" t="str">
        <x:v>7.0</x:v>
      </x:c>
      <x:c r="AO105" s="66" t="str">
        <x:v>100.0</x:v>
      </x:c>
      <x:c r="AP105" s="14" t="str">
        <x:v>High</x:v>
      </x:c>
      <x:c r="AQ105" s="47" t="str">
        <x:v>Issuer facility-to-FEMA county match</x:v>
      </x:c>
      <x:c r="AR105" s="66" t="str">
        <x:v>0.1250652491518801</x:v>
      </x:c>
      <x:c r="AS105" s="66" t="str">
        <x:v>7.43690764334572</x:v>
      </x:c>
      <x:c r="AT105" s="66" t="str">
        <x:v>0.0</x:v>
      </x:c>
      <x:c r="AU105" s="66" t="str">
        <x:v>11.136677389433892</x:v>
      </x:c>
      <x:c r="AV105" s="66" t="str">
        <x:v>2.1999999999999997</x:v>
      </x:c>
      <x:c r="AW105" s="72" t="str">
        <x:v>0.75</x:v>
      </x:c>
      <x:c r="AX105" s="72" t="str">
        <x:v>0.5</x:v>
      </x:c>
      <x:c r="AY105" s="72" t="str">
        <x:v>0.5</x:v>
      </x:c>
      <x:c r="AZ105" s="72" t="str">
        <x:v>0.008</x:v>
      </x:c>
      <x:c r="BA105" s="72" t="str">
        <x:v>0.03</x:v>
      </x:c>
      <x:c r="BB105" s="72" t="str">
        <x:v>0.25</x:v>
      </x:c>
      <x:c r="BC105" s="72" t="str">
        <x:v>0.5</x:v>
      </x:c>
      <x:c r="BD105" s="72" t="str">
        <x:v>0.1</x:v>
      </x:c>
      <x:c r="BE105" s="72" t="str">
        <x:v>0.25</x:v>
      </x:c>
      <x:c r="BF105" s="14" t="str">
        <x:v>1.15</x:v>
      </x:c>
      <x:c r="BG105" s="72" t="str">
        <x:v>0.6</x:v>
      </x:c>
      <x:c r="BH105" s="74" t="str">
        <x:v>0.7403100775193798</x:v>
      </x:c>
      <x:c r="BI105" s="47" t="str">
        <x:v>Common scenario elasticity + issuer SEC CapEx/CFO dependency scale</x:v>
      </x:c>
      <x:c r="BJ105" s="47" t="str">
        <x:v>Modeled estimate using observed inputs + disclosed assumptions</x:v>
      </x:c>
      <x:c r="BK105" s="14" t="str">
        <x:v>False</x:v>
      </x:c>
      <x:c r="BL105" s="14" t="str">
        <x:v>False</x:v>
      </x:c>
      <x:c r="BM105" s="14" t="str">
        <x:v>False</x:v>
      </x:c>
      <x:c r="BN105" s="47" t="str">
        <x:v>Conditional scenario sensitivity; not a forecast or probability</x:v>
      </x:c>
      <x:c r="BO105" s="66" t="str">
        <x:v>102.4531277855516</x:v>
      </x:c>
    </x:row>
    <x:row r="106">
      <x:c r="A106" s="14" t="str">
        <x:v>CAT</x:v>
      </x:c>
      <x:c r="B106" s="14" t="str">
        <x:v>Industrials</x:v>
      </x:c>
      <x:c r="C106" s="14" t="str">
        <x:v>fragmented_vs_baseline</x:v>
      </x:c>
      <x:c r="D106" s="47" t="str">
        <x:v>Fragmented World vs baseline</x:v>
      </x:c>
      <x:c r="E106" s="14" t="str">
        <x:v>Fragmented vs baseline</x:v>
      </x:c>
      <x:c r="F106" s="14" t="str">
        <x:v>fragmented_world</x:v>
      </x:c>
      <x:c r="G106" s="14" t="str">
        <x:v>baseline</x:v>
      </x:c>
      <x:c r="H106" s="14" t="str">
        <x:v>2050</x:v>
      </x:c>
      <x:c r="I106" s="14" t="str">
        <x:v>high</x:v>
      </x:c>
      <x:c r="J106" s="14" t="str">
        <x:v>True</x:v>
      </x:c>
      <x:c r="K106" s="14" t="str">
        <x:v>CFP-2026-003-R17-20260804T234500Z</x:v>
      </x:c>
      <x:c r="L10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6" s="66" t="str">
        <x:v>-5.734385623443005</x:v>
      </x:c>
      <x:c r="N106" s="68" t="str">
        <x:v>121641418108.2752</x:v>
      </x:c>
      <x:c r="O106" s="68" t="str">
        <x:v>114666030116.12207</x:v>
      </x:c>
      <x:c r="P106" s="68" t="str">
        <x:v>18326479866.126686</x:v>
      </x:c>
      <x:c r="Q106" s="68" t="str">
        <x:v>16055626343.445705</x:v>
      </x:c>
      <x:c r="R106" s="68" t="str">
        <x:v>-2270853522.6809807</x:v>
      </x:c>
      <x:c r="S106" s="68" t="str">
        <x:v>10636693843.707409</x:v>
      </x:c>
      <x:c r="T106" s="66" t="str">
        <x:v>5.845601946813706</x:v>
      </x:c>
      <x:c r="U106" s="66" t="str">
        <x:v>0.6230233042589216</x:v>
      </x:c>
      <x:c r="V106" s="66" t="str">
        <x:v>5.922480620155039</x:v>
      </x:c>
      <x:c r="W106" s="68" t="str">
        <x:v>1071293063.8367234</x:v>
      </x:c>
      <x:c r="X106" s="68" t="str">
        <x:v>114178240.41628847</x:v>
      </x:c>
      <x:c r="Y106" s="68" t="str">
        <x:v>1085382218.427968</x:v>
      </x:c>
      <x:c r="Z106" s="66" t="str">
        <x:v>-2.570997383084343</x:v>
      </x:c>
      <x:c r="AA106" s="66" t="str">
        <x:v>-0.579616830727601</x:v>
      </x:c>
      <x:c r="AB106" s="66" t="str">
        <x:v>-2.583771409631067</x:v>
      </x:c>
      <x:c r="AC106" s="68" t="str">
        <x:v>60317059.27625518</x:v>
      </x:c>
      <x:c r="AD106" s="68" t="str">
        <x:v>45903056.14038538</x:v>
      </x:c>
      <x:c r="AE106" s="68" t="str">
        <x:v>965072948.4200829</x:v>
      </x:c>
      <x:c r="AF106" s="68" t="str">
        <x:v>5144369.862673244</x:v>
      </x:c>
      <x:c r="AG106" s="68" t="str">
        <x:v>109033870.55361523</x:v>
      </x:c>
      <x:c r="AH106" s="70" t="str">
        <x:v>680000.0</x:v>
      </x:c>
      <x:c r="AI106" s="70" t="str">
        <x:v>690000.0</x:v>
      </x:c>
      <x:c r="AJ106" s="70" t="str">
        <x:v>680000000.0</x:v>
      </x:c>
      <x:c r="AK106" s="68" t="str">
        <x:v>15140000000.0</x:v>
      </x:c>
      <x:c r="AL106" s="66" t="str">
        <x:v>0.1250652491518801</x:v>
      </x:c>
      <x:c r="AM106" s="70" t="str">
        <x:v>7.0</x:v>
      </x:c>
      <x:c r="AN106" s="70" t="str">
        <x:v>7.0</x:v>
      </x:c>
      <x:c r="AO106" s="66" t="str">
        <x:v>100.0</x:v>
      </x:c>
      <x:c r="AP106" s="14" t="str">
        <x:v>High</x:v>
      </x:c>
      <x:c r="AQ106" s="47" t="str">
        <x:v>Issuer facility-to-FEMA county match</x:v>
      </x:c>
      <x:c r="AR106" s="66" t="str">
        <x:v>0.1250652491518801</x:v>
      </x:c>
      <x:c r="AS106" s="66" t="str">
        <x:v>7.43690764334572</x:v>
      </x:c>
      <x:c r="AT106" s="66" t="str">
        <x:v>0.0</x:v>
      </x:c>
      <x:c r="AU106" s="66" t="str">
        <x:v>11.136677389433892</x:v>
      </x:c>
      <x:c r="AV106" s="66" t="str">
        <x:v>2.1999999999999997</x:v>
      </x:c>
      <x:c r="AW106" s="72" t="str">
        <x:v>1.0</x:v>
      </x:c>
      <x:c r="AX106" s="72" t="str">
        <x:v>0.3</x:v>
      </x:c>
      <x:c r="AY106" s="72" t="str">
        <x:v>0.75</x:v>
      </x:c>
      <x:c r="AZ106" s="72" t="str">
        <x:v>0.016</x:v>
      </x:c>
      <x:c r="BA106" s="72" t="str">
        <x:v>0.01</x:v>
      </x:c>
      <x:c r="BB106" s="72" t="str">
        <x:v>0.3375</x:v>
      </x:c>
      <x:c r="BC106" s="72" t="str">
        <x:v>0.3</x:v>
      </x:c>
      <x:c r="BD106" s="72" t="str">
        <x:v>0.2</x:v>
      </x:c>
      <x:c r="BE106" s="72" t="str">
        <x:v>0.4</x:v>
      </x:c>
      <x:c r="BF106" s="14" t="str">
        <x:v>1.15</x:v>
      </x:c>
      <x:c r="BG106" s="72" t="str">
        <x:v>1.0</x:v>
      </x:c>
      <x:c r="BH106" s="74" t="str">
        <x:v>0.7403100775193798</x:v>
      </x:c>
      <x:c r="BI106" s="47" t="str">
        <x:v>Common scenario elasticity + issuer SEC CapEx/CFO dependency scale</x:v>
      </x:c>
      <x:c r="BJ106" s="47" t="str">
        <x:v>Modeled estimate using observed inputs + disclosed assumptions</x:v>
      </x:c>
      <x:c r="BK106" s="14" t="str">
        <x:v>False</x:v>
      </x:c>
      <x:c r="BL106" s="14" t="str">
        <x:v>False</x:v>
      </x:c>
      <x:c r="BM106" s="14" t="str">
        <x:v>False</x:v>
      </x:c>
      <x:c r="BN106" s="47" t="str">
        <x:v>Conditional scenario sensitivity; not a forecast or probability</x:v>
      </x:c>
      <x:c r="BO106" s="66" t="str">
        <x:v>106.08322097232212</x:v>
      </x:c>
    </x:row>
    <x:row r="107">
      <x:c r="A107" s="14" t="str">
        <x:v>CVX</x:v>
      </x:c>
      <x:c r="B107" s="14" t="str">
        <x:v>Energy</x:v>
      </x:c>
      <x:c r="C107" s="14" t="str">
        <x:v>fragmented_vs_baseline</x:v>
      </x:c>
      <x:c r="D107" s="47" t="str">
        <x:v>Fragmented World vs baseline</x:v>
      </x:c>
      <x:c r="E107" s="14" t="str">
        <x:v>Fragmented vs baseline</x:v>
      </x:c>
      <x:c r="F107" s="14" t="str">
        <x:v>fragmented_world</x:v>
      </x:c>
      <x:c r="G107" s="14" t="str">
        <x:v>baseline</x:v>
      </x:c>
      <x:c r="H107" s="14" t="str">
        <x:v>2050</x:v>
      </x:c>
      <x:c r="I107" s="14" t="str">
        <x:v>low</x:v>
      </x:c>
      <x:c r="J107" s="14" t="str">
        <x:v>True</x:v>
      </x:c>
      <x:c r="K107" s="14" t="str">
        <x:v>CFP-2026-003-R17-20260804T234500Z</x:v>
      </x:c>
      <x:c r="L10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7" s="66" t="str">
        <x:v>-2.917418730154142</x:v>
      </x:c>
      <x:c r="N107" s="68" t="str">
        <x:v>376652049847.3526</x:v>
      </x:c>
      <x:c r="O107" s="68" t="str">
        <x:v>365663532397.59644</x:v>
      </x:c>
      <x:c r="P107" s="68" t="str">
        <x:v>28339039686.316536</x:v>
      </x:c>
      <x:c r="Q107" s="68" t="str">
        <x:v>27074301457.311447</x:v>
      </x:c>
      <x:c r="R107" s="68" t="str">
        <x:v>-1264738229.0050888</x:v>
      </x:c>
      <x:c r="S107" s="68" t="str">
        <x:v>18142230456.32</x:v>
      </x:c>
      <x:c r="T107" s="66" t="str">
        <x:v>1.3465644411766295</x:v>
      </x:c>
      <x:c r="U107" s="66" t="str">
        <x:v>0.28517460429013003</x:v>
      </x:c>
      <x:c r="V107" s="66" t="str">
        <x:v>2.8311441114941513</x:v>
      </x:c>
      <x:c r="W107" s="68" t="str">
        <x:v>381603431.3868715</x:v>
      </x:c>
      <x:c r="X107" s="68" t="str">
        <x:v>80815744.28507608</x:v>
      </x:c>
      <x:c r="Y107" s="68" t="str">
        <x:v>802319053.3331412</x:v>
      </x:c>
      <x:c r="Z107" s="66" t="str">
        <x:v>-1.0079999534227966</x:v>
      </x:c>
      <x:c r="AA107" s="66" t="str">
        <x:v>-0.20529006397226635</x:v>
      </x:c>
      <x:c r="AB107" s="66" t="str">
        <x:v>-1.7041287127590745</x:v>
      </x:c>
      <x:c r="AC107" s="68" t="str">
        <x:v>366039954.79059017</x:v>
      </x:c>
      <x:c r="AD107" s="68" t="str">
        <x:v>6778517.6813072255</x:v>
      </x:c>
      <x:c r="AE107" s="68" t="str">
        <x:v>8784958.914974164</x:v>
      </x:c>
      <x:c r="AF107" s="68" t="str">
        <x:v>65009132.7214577</x:v>
      </x:c>
      <x:c r="AG107" s="68" t="str">
        <x:v>15806611.563618388</x:v>
      </x:c>
      <x:c r="AH107" s="70" t="str">
        <x:v>54000000.0</x:v>
      </x:c>
      <x:c r="AI107" s="70" t="str">
        <x:v>4000000.0</x:v>
      </x:c>
      <x:c r="AJ107" s="70" t="str">
        <x:v>432000000.0</x:v>
      </x:c>
      <x:c r="AK107" s="68" t="str">
        <x:v>219729000000.0</x:v>
      </x:c>
      <x:c r="AL107" s="66" t="str">
        <x:v>0.31761728843062803</x:v>
      </x:c>
      <x:c r="AM107" s="70" t="str">
        <x:v>34.0</x:v>
      </x:c>
      <x:c r="AN107" s="70" t="str">
        <x:v>53.0</x:v>
      </x:c>
      <x:c r="AO107" s="66" t="str">
        <x:v>64.15094339622641</x:v>
      </x:c>
      <x:c r="AP107" s="14" t="str">
        <x:v>Medium</x:v>
      </x:c>
      <x:c r="AQ107" s="47" t="str">
        <x:v>Issuer facility-to-FEMA county match</x:v>
      </x:c>
      <x:c r="AR107" s="66" t="str">
        <x:v>0.31761728843062803</x:v>
      </x:c>
      <x:c r="AS107" s="66" t="str">
        <x:v>7.43690764334572</x:v>
      </x:c>
      <x:c r="AT107" s="66" t="str">
        <x:v>0.0</x:v>
      </x:c>
      <x:c r="AU107" s="66" t="str">
        <x:v>6.7034090248596065</x:v>
      </x:c>
      <x:c r="AV107" s="66" t="str">
        <x:v>1.7999999999999998</x:v>
      </x:c>
      <x:c r="AW107" s="72" t="str">
        <x:v>0.5</x:v>
      </x:c>
      <x:c r="AX107" s="72" t="str">
        <x:v>0.7</x:v>
      </x:c>
      <x:c r="AY107" s="72" t="str">
        <x:v>0.25</x:v>
      </x:c>
      <x:c r="AZ107" s="72" t="str">
        <x:v>0.0015</x:v>
      </x:c>
      <x:c r="BA107" s="72" t="str">
        <x:v>0.05</x:v>
      </x:c>
      <x:c r="BB107" s="72" t="str">
        <x:v>0.27</x:v>
      </x:c>
      <x:c r="BC107" s="72" t="str">
        <x:v>0.7</x:v>
      </x:c>
      <x:c r="BD107" s="72" t="str">
        <x:v>0.05</x:v>
      </x:c>
      <x:c r="BE107" s="72" t="str">
        <x:v>0.15</x:v>
      </x:c>
      <x:c r="BF107" s="14" t="str">
        <x:v>1.15</x:v>
      </x:c>
      <x:c r="BG107" s="72" t="str">
        <x:v>0.35</x:v>
      </x:c>
      <x:c r="BH107" s="74" t="str">
        <x:v>1.0111228969621968</x:v>
      </x:c>
      <x:c r="BI107" s="47" t="str">
        <x:v>Common scenario elasticity + issuer SEC CapEx/CFO dependency scale</x:v>
      </x:c>
      <x:c r="BJ107" s="47" t="str">
        <x:v>Modeled estimate using observed inputs + disclosed assumptions</x:v>
      </x:c>
      <x:c r="BK107" s="14" t="str">
        <x:v>False</x:v>
      </x:c>
      <x:c r="BL107" s="14" t="str">
        <x:v>False</x:v>
      </x:c>
      <x:c r="BM107" s="14" t="str">
        <x:v>False</x:v>
      </x:c>
      <x:c r="BN107" s="47" t="str">
        <x:v>Conditional scenario sensitivity; not a forecast or probability</x:v>
      </x:c>
      <x:c r="BO107" s="66" t="str">
        <x:v>103.00508978232152</x:v>
      </x:c>
    </x:row>
    <x:row r="108">
      <x:c r="A108" s="14" t="str">
        <x:v>CVX</x:v>
      </x:c>
      <x:c r="B108" s="14" t="str">
        <x:v>Energy</x:v>
      </x:c>
      <x:c r="C108" s="14" t="str">
        <x:v>fragmented_vs_baseline</x:v>
      </x:c>
      <x:c r="D108" s="47" t="str">
        <x:v>Fragmented World vs baseline</x:v>
      </x:c>
      <x:c r="E108" s="14" t="str">
        <x:v>Fragmented vs baseline</x:v>
      </x:c>
      <x:c r="F108" s="14" t="str">
        <x:v>fragmented_world</x:v>
      </x:c>
      <x:c r="G108" s="14" t="str">
        <x:v>baseline</x:v>
      </x:c>
      <x:c r="H108" s="14" t="str">
        <x:v>2050</x:v>
      </x:c>
      <x:c r="I108" s="14" t="str">
        <x:v>base</x:v>
      </x:c>
      <x:c r="J108" s="14" t="str">
        <x:v>True</x:v>
      </x:c>
      <x:c r="K108" s="14" t="str">
        <x:v>CFP-2026-003-R17-20260804T234500Z</x:v>
      </x:c>
      <x:c r="L10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8" s="66" t="str">
        <x:v>-7.411920785956472</x:v>
      </x:c>
      <x:c r="N108" s="68" t="str">
        <x:v>376652049847.3526</x:v>
      </x:c>
      <x:c r="O108" s="68" t="str">
        <x:v>348734898273.98553</x:v>
      </x:c>
      <x:c r="P108" s="68" t="str">
        <x:v>28339039686.316536</x:v>
      </x:c>
      <x:c r="Q108" s="68" t="str">
        <x:v>25083476400.210518</x:v>
      </x:c>
      <x:c r="R108" s="68" t="str">
        <x:v>-3255563286.106018</x:v>
      </x:c>
      <x:c r="S108" s="68" t="str">
        <x:v>18142230456.32</x:v>
      </x:c>
      <x:c r="T108" s="66" t="str">
        <x:v>5.8113809905656035</x:v>
      </x:c>
      <x:c r="U108" s="66" t="str">
        <x:v>0.8231387937643015</x:v>
      </x:c>
      <x:c r="V108" s="66" t="str">
        <x:v>4.8533899054185445</x:v>
      </x:c>
      <x:c r="W108" s="68" t="str">
        <x:v>1646889565.2394414</x:v>
      </x:c>
      <x:c r="X108" s="68" t="str">
        <x:v>233269629.43833262</x:v>
      </x:c>
      <x:c r="Y108" s="68" t="str">
        <x:v>1375404091.428242</x:v>
      </x:c>
      <x:c r="Z108" s="66" t="str">
        <x:v>-3.8904125612926976</x:v>
      </x:c>
      <x:c r="AA108" s="66" t="str">
        <x:v>-0.6001447170767721</x:v>
      </x:c>
      <x:c r="AB108" s="66" t="str">
        <x:v>-2.921363507587004</x:v>
      </x:c>
      <x:c r="AC108" s="68" t="str">
        <x:v>1540535555.067382</x:v>
      </x:c>
      <x:c r="AD108" s="68" t="str">
        <x:v>57056872.40990305</x:v>
      </x:c>
      <x:c r="AE108" s="68" t="str">
        <x:v>49297137.76215623</x:v>
      </x:c>
      <x:c r="AF108" s="68" t="str">
        <x:v>180580924.22627133</x:v>
      </x:c>
      <x:c r="AG108" s="68" t="str">
        <x:v>52688705.21206129</x:v>
      </x:c>
      <x:c r="AH108" s="70" t="str">
        <x:v>54000000.0</x:v>
      </x:c>
      <x:c r="AI108" s="70" t="str">
        <x:v>4000000.0</x:v>
      </x:c>
      <x:c r="AJ108" s="70" t="str">
        <x:v>432000000.0</x:v>
      </x:c>
      <x:c r="AK108" s="68" t="str">
        <x:v>219729000000.0</x:v>
      </x:c>
      <x:c r="AL108" s="66" t="str">
        <x:v>0.31761728843062803</x:v>
      </x:c>
      <x:c r="AM108" s="70" t="str">
        <x:v>34.0</x:v>
      </x:c>
      <x:c r="AN108" s="70" t="str">
        <x:v>53.0</x:v>
      </x:c>
      <x:c r="AO108" s="66" t="str">
        <x:v>64.15094339622641</x:v>
      </x:c>
      <x:c r="AP108" s="14" t="str">
        <x:v>Medium</x:v>
      </x:c>
      <x:c r="AQ108" s="47" t="str">
        <x:v>Issuer facility-to-FEMA county match</x:v>
      </x:c>
      <x:c r="AR108" s="66" t="str">
        <x:v>0.31761728843062803</x:v>
      </x:c>
      <x:c r="AS108" s="66" t="str">
        <x:v>7.43690764334572</x:v>
      </x:c>
      <x:c r="AT108" s="66" t="str">
        <x:v>0.0</x:v>
      </x:c>
      <x:c r="AU108" s="66" t="str">
        <x:v>6.7034090248596065</x:v>
      </x:c>
      <x:c r="AV108" s="66" t="str">
        <x:v>1.7999999999999998</x:v>
      </x:c>
      <x:c r="AW108" s="72" t="str">
        <x:v>0.75</x:v>
      </x:c>
      <x:c r="AX108" s="72" t="str">
        <x:v>0.5</x:v>
      </x:c>
      <x:c r="AY108" s="72" t="str">
        <x:v>0.5</x:v>
      </x:c>
      <x:c r="AZ108" s="72" t="str">
        <x:v>0.003</x:v>
      </x:c>
      <x:c r="BA108" s="72" t="str">
        <x:v>0.03</x:v>
      </x:c>
      <x:c r="BB108" s="72" t="str">
        <x:v>0.45</x:v>
      </x:c>
      <x:c r="BC108" s="72" t="str">
        <x:v>0.5</x:v>
      </x:c>
      <x:c r="BD108" s="72" t="str">
        <x:v>0.1</x:v>
      </x:c>
      <x:c r="BE108" s="72" t="str">
        <x:v>0.25</x:v>
      </x:c>
      <x:c r="BF108" s="14" t="str">
        <x:v>1.15</x:v>
      </x:c>
      <x:c r="BG108" s="72" t="str">
        <x:v>0.6</x:v>
      </x:c>
      <x:c r="BH108" s="74" t="str">
        <x:v>1.0111228969621968</x:v>
      </x:c>
      <x:c r="BI108" s="47" t="str">
        <x:v>Common scenario elasticity + issuer SEC CapEx/CFO dependency scale</x:v>
      </x:c>
      <x:c r="BJ108" s="47" t="str">
        <x:v>Modeled estimate using observed inputs + disclosed assumptions</x:v>
      </x:c>
      <x:c r="BK108" s="14" t="str">
        <x:v>False</x:v>
      </x:c>
      <x:c r="BL108" s="14" t="str">
        <x:v>False</x:v>
      </x:c>
      <x:c r="BM108" s="14" t="str">
        <x:v>False</x:v>
      </x:c>
      <x:c r="BN108" s="47" t="str">
        <x:v>Conditional scenario sensitivity; not a forecast or probability</x:v>
      </x:c>
      <x:c r="BO108" s="66" t="str">
        <x:v>108.00526466136287</x:v>
      </x:c>
    </x:row>
    <x:row r="109">
      <x:c r="A109" s="14" t="str">
        <x:v>CVX</x:v>
      </x:c>
      <x:c r="B109" s="14" t="str">
        <x:v>Energy</x:v>
      </x:c>
      <x:c r="C109" s="14" t="str">
        <x:v>fragmented_vs_baseline</x:v>
      </x:c>
      <x:c r="D109" s="47" t="str">
        <x:v>Fragmented World vs baseline</x:v>
      </x:c>
      <x:c r="E109" s="14" t="str">
        <x:v>Fragmented vs baseline</x:v>
      </x:c>
      <x:c r="F109" s="14" t="str">
        <x:v>fragmented_world</x:v>
      </x:c>
      <x:c r="G109" s="14" t="str">
        <x:v>baseline</x:v>
      </x:c>
      <x:c r="H109" s="14" t="str">
        <x:v>2050</x:v>
      </x:c>
      <x:c r="I109" s="14" t="str">
        <x:v>high</x:v>
      </x:c>
      <x:c r="J109" s="14" t="str">
        <x:v>True</x:v>
      </x:c>
      <x:c r="K109" s="14" t="str">
        <x:v>CFP-2026-003-R17-20260804T234500Z</x:v>
      </x:c>
      <x:c r="L10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09" s="66" t="str">
        <x:v>-17.60083362307657</x:v>
      </x:c>
      <x:c r="N109" s="68" t="str">
        <x:v>376652049847.3526</x:v>
      </x:c>
      <x:c r="O109" s="68" t="str">
        <x:v>310358149215.8126</x:v>
      </x:c>
      <x:c r="P109" s="68" t="str">
        <x:v>28339039686.316536</x:v>
      </x:c>
      <x:c r="Q109" s="68" t="str">
        <x:v>20250894500.48371</x:v>
      </x:c>
      <x:c r="R109" s="68" t="str">
        <x:v>-8088145185.832825</x:v>
      </x:c>
      <x:c r="S109" s="68" t="str">
        <x:v>18142230456.32</x:v>
      </x:c>
      <x:c r="T109" s="66" t="str">
        <x:v>18.652372446263467</x:v>
      </x:c>
      <x:c r="U109" s="66" t="str">
        <x:v>1.7992910455341022</x:v>
      </x:c>
      <x:c r="V109" s="66" t="str">
        <x:v>8.088983175697576</x:v>
      </x:c>
      <x:c r="W109" s="68" t="str">
        <x:v>5285903229.986175</x:v>
      </x:c>
      <x:c r="X109" s="68" t="str">
        <x:v>509901803.4662489</x:v>
      </x:c>
      <x:c r="Y109" s="68" t="str">
        <x:v>2292340152.3804035</x:v>
      </x:c>
      <x:c r="Z109" s="66" t="str">
        <x:v>-11.362649848994169</x:v>
      </x:c>
      <x:c r="AA109" s="66" t="str">
        <x:v>-1.3692445947707514</x:v>
      </x:c>
      <x:c r="AB109" s="66" t="str">
        <x:v>-4.8689391793116545</x:v>
      </x:c>
      <x:c r="AC109" s="68" t="str">
        <x:v>4789884118.996735</x:v>
      </x:c>
      <x:c r="AD109" s="68" t="str">
        <x:v>266104673.2775964</x:v>
      </x:c>
      <x:c r="AE109" s="68" t="str">
        <x:v>229914437.7118433</x:v>
      </x:c>
      <x:c r="AF109" s="68" t="str">
        <x:v>341297946.7876528</x:v>
      </x:c>
      <x:c r="AG109" s="68" t="str">
        <x:v>168603856.67859614</x:v>
      </x:c>
      <x:c r="AH109" s="70" t="str">
        <x:v>54000000.0</x:v>
      </x:c>
      <x:c r="AI109" s="70" t="str">
        <x:v>4000000.0</x:v>
      </x:c>
      <x:c r="AJ109" s="70" t="str">
        <x:v>432000000.0</x:v>
      </x:c>
      <x:c r="AK109" s="68" t="str">
        <x:v>219729000000.0</x:v>
      </x:c>
      <x:c r="AL109" s="66" t="str">
        <x:v>0.31761728843062803</x:v>
      </x:c>
      <x:c r="AM109" s="70" t="str">
        <x:v>34.0</x:v>
      </x:c>
      <x:c r="AN109" s="70" t="str">
        <x:v>53.0</x:v>
      </x:c>
      <x:c r="AO109" s="66" t="str">
        <x:v>64.15094339622641</x:v>
      </x:c>
      <x:c r="AP109" s="14" t="str">
        <x:v>Medium</x:v>
      </x:c>
      <x:c r="AQ109" s="47" t="str">
        <x:v>Issuer facility-to-FEMA county match</x:v>
      </x:c>
      <x:c r="AR109" s="66" t="str">
        <x:v>0.31761728843062803</x:v>
      </x:c>
      <x:c r="AS109" s="66" t="str">
        <x:v>7.43690764334572</x:v>
      </x:c>
      <x:c r="AT109" s="66" t="str">
        <x:v>0.0</x:v>
      </x:c>
      <x:c r="AU109" s="66" t="str">
        <x:v>6.7034090248596065</x:v>
      </x:c>
      <x:c r="AV109" s="66" t="str">
        <x:v>1.7999999999999998</x:v>
      </x:c>
      <x:c r="AW109" s="72" t="str">
        <x:v>1.0</x:v>
      </x:c>
      <x:c r="AX109" s="72" t="str">
        <x:v>0.3</x:v>
      </x:c>
      <x:c r="AY109" s="72" t="str">
        <x:v>0.75</x:v>
      </x:c>
      <x:c r="AZ109" s="72" t="str">
        <x:v>0.006</x:v>
      </x:c>
      <x:c r="BA109" s="72" t="str">
        <x:v>0.01</x:v>
      </x:c>
      <x:c r="BB109" s="72" t="str">
        <x:v>0.6075</x:v>
      </x:c>
      <x:c r="BC109" s="72" t="str">
        <x:v>0.3</x:v>
      </x:c>
      <x:c r="BD109" s="72" t="str">
        <x:v>0.2</x:v>
      </x:c>
      <x:c r="BE109" s="72" t="str">
        <x:v>0.4</x:v>
      </x:c>
      <x:c r="BF109" s="14" t="str">
        <x:v>1.15</x:v>
      </x:c>
      <x:c r="BG109" s="72" t="str">
        <x:v>1.0</x:v>
      </x:c>
      <x:c r="BH109" s="74" t="str">
        <x:v>1.0111228969621968</x:v>
      </x:c>
      <x:c r="BI109" s="47" t="str">
        <x:v>Common scenario elasticity + issuer SEC CapEx/CFO dependency scale</x:v>
      </x:c>
      <x:c r="BJ109" s="47" t="str">
        <x:v>Modeled estimate using observed inputs + disclosed assumptions</x:v>
      </x:c>
      <x:c r="BK109" s="14" t="str">
        <x:v>False</x:v>
      </x:c>
      <x:c r="BL109" s="14" t="str">
        <x:v>False</x:v>
      </x:c>
      <x:c r="BM109" s="14" t="str">
        <x:v>False</x:v>
      </x:c>
      <x:c r="BN109" s="47" t="str">
        <x:v>Conditional scenario sensitivity; not a forecast or probability</x:v>
      </x:c>
      <x:c r="BO109" s="66" t="str">
        <x:v>121.360451078551</x:v>
      </x:c>
    </x:row>
    <x:row r="110">
      <x:c r="A110" s="14" t="str">
        <x:v>DE</x:v>
      </x:c>
      <x:c r="B110" s="14" t="str">
        <x:v>Industrials</x:v>
      </x:c>
      <x:c r="C110" s="14" t="str">
        <x:v>fragmented_vs_baseline</x:v>
      </x:c>
      <x:c r="D110" s="47" t="str">
        <x:v>Fragmented World vs baseline</x:v>
      </x:c>
      <x:c r="E110" s="14" t="str">
        <x:v>Fragmented vs baseline</x:v>
      </x:c>
      <x:c r="F110" s="14" t="str">
        <x:v>fragmented_world</x:v>
      </x:c>
      <x:c r="G110" s="14" t="str">
        <x:v>baseline</x:v>
      </x:c>
      <x:c r="H110" s="14" t="str">
        <x:v>2050</x:v>
      </x:c>
      <x:c r="I110" s="14" t="str">
        <x:v>low</x:v>
      </x:c>
      <x:c r="J110" s="14" t="str">
        <x:v>True</x:v>
      </x:c>
      <x:c r="K110" s="14" t="str">
        <x:v>CFP-2026-003-R17-20260804T234500Z</x:v>
      </x:c>
      <x:c r="L11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0" s="66" t="str">
        <x:v>-1.1696352050675207</x:v>
      </x:c>
      <x:c r="N110" s="68" t="str">
        <x:v>156035291063.10095</x:v>
      </x:c>
      <x:c r="O110" s="68" t="str">
        <x:v>154210247366.49734</x:v>
      </x:c>
      <x:c r="P110" s="68" t="str">
        <x:v>14871029621.789665</x:v>
      </x:c>
      <x:c r="Q110" s="68" t="str">
        <x:v>14570968725.796885</x:v>
      </x:c>
      <x:c r="R110" s="68" t="str">
        <x:v>-300060895.9927807</x:v>
      </x:c>
      <x:c r="S110" s="68" t="str">
        <x:v>8631149592.456448</x:v>
      </x:c>
      <x:c r="T110" s="66" t="str">
        <x:v>0.04848962009057345</x:v>
      </x:c>
      <x:c r="U110" s="66" t="str">
        <x:v>0.05874085984515087</x:v>
      </x:c>
      <x:c r="V110" s="66" t="str">
        <x:v>1.9105241989542836</x:v>
      </x:c>
      <x:c r="W110" s="68" t="str">
        <x:v>7210905.767162451</x:v>
      </x:c>
      <x:c r="X110" s="68" t="str">
        <x:v>8735370.667666337</x:v>
      </x:c>
      <x:c r="Y110" s="68" t="str">
        <x:v>284114619.5579512</x:v>
      </x:c>
      <x:c r="Z110" s="66" t="str">
        <x:v>-0.03562248531785643</x:v>
      </x:c>
      <x:c r="AA110" s="66" t="str">
        <x:v>-0.05552445775735887</x:v>
      </x:c>
      <x:c r="AB110" s="66" t="str">
        <x:v>-1.0784882619923077</x:v>
      </x:c>
      <x:c r="AC110" s="68" t="str">
        <x:v>2398917.4074146273</x:v>
      </x:c>
      <x:c r="AD110" s="68" t="str">
        <x:v>379596.99015320465</x:v>
      </x:c>
      <x:c r="AE110" s="68" t="str">
        <x:v>4432391.369594619</x:v>
      </x:c>
      <x:c r="AF110" s="68" t="str">
        <x:v>440785.1282632232</x:v>
      </x:c>
      <x:c r="AG110" s="68" t="str">
        <x:v>8294585.539403114</x:v>
      </x:c>
      <x:c r="AH110" s="70" t="str">
        <x:v>353900.0</x:v>
      </x:c>
      <x:c r="AI110" s="70" t="str">
        <x:v>224000.0</x:v>
      </x:c>
      <x:c r="AJ110" s="70" t="str">
        <x:v>81736000.0</x:v>
      </x:c>
      <x:c r="AK110" s="68" t="str">
        <x:v>8079000000.0</x:v>
      </x:c>
      <x:c r="AL110" s="66" t="str">
        <x:v>0.1054287290454164</x:v>
      </x:c>
      <x:c r="AM110" s="70" t="str">
        <x:v>1.0</x:v>
      </x:c>
      <x:c r="AN110" s="70" t="str">
        <x:v>1.0</x:v>
      </x:c>
      <x:c r="AO110" s="66" t="str">
        <x:v>100.0</x:v>
      </x:c>
      <x:c r="AP110" s="14" t="str">
        <x:v>High</x:v>
      </x:c>
      <x:c r="AQ110" s="47" t="str">
        <x:v>Issuer facility-to-FEMA county match</x:v>
      </x:c>
      <x:c r="AR110" s="66" t="str">
        <x:v>0.1054287290454164</x:v>
      </x:c>
      <x:c r="AS110" s="66" t="str">
        <x:v>7.43690764334572</x:v>
      </x:c>
      <x:c r="AT110" s="66" t="str">
        <x:v>0.0</x:v>
      </x:c>
      <x:c r="AU110" s="66" t="str">
        <x:v>7.853230639934694</x:v>
      </x:c>
      <x:c r="AV110" s="66" t="str">
        <x:v>2.1999999999999997</x:v>
      </x:c>
      <x:c r="AW110" s="72" t="str">
        <x:v>0.5</x:v>
      </x:c>
      <x:c r="AX110" s="72" t="str">
        <x:v>0.7</x:v>
      </x:c>
      <x:c r="AY110" s="72" t="str">
        <x:v>0.25</x:v>
      </x:c>
      <x:c r="AZ110" s="72" t="str">
        <x:v>0.004</x:v>
      </x:c>
      <x:c r="BA110" s="72" t="str">
        <x:v>0.05</x:v>
      </x:c>
      <x:c r="BB110" s="72" t="str">
        <x:v>0.15</x:v>
      </x:c>
      <x:c r="BC110" s="72" t="str">
        <x:v>0.7</x:v>
      </x:c>
      <x:c r="BD110" s="72" t="str">
        <x:v>0.05</x:v>
      </x:c>
      <x:c r="BE110" s="72" t="str">
        <x:v>0.15</x:v>
      </x:c>
      <x:c r="BF110" s="14" t="str">
        <x:v>1.15</x:v>
      </x:c>
      <x:c r="BG110" s="72" t="str">
        <x:v>0.35</x:v>
      </x:c>
      <x:c r="BH110" s="74" t="str">
        <x:v>0.6823300710551012</x:v>
      </x:c>
      <x:c r="BI110" s="47" t="str">
        <x:v>Common scenario elasticity + issuer SEC CapEx/CFO dependency scale</x:v>
      </x:c>
      <x:c r="BJ110" s="47" t="str">
        <x:v>Modeled estimate using observed inputs + disclosed assumptions</x:v>
      </x:c>
      <x:c r="BK110" s="14" t="str">
        <x:v>False</x:v>
      </x:c>
      <x:c r="BL110" s="14" t="str">
        <x:v>False</x:v>
      </x:c>
      <x:c r="BM110" s="14" t="str">
        <x:v>False</x:v>
      </x:c>
      <x:c r="BN110" s="47" t="str">
        <x:v>Conditional scenario sensitivity; not a forecast or probability</x:v>
      </x:c>
      <x:c r="BO110" s="66" t="str">
        <x:v>101.18347757543387</x:v>
      </x:c>
    </x:row>
    <x:row r="111">
      <x:c r="A111" s="14" t="str">
        <x:v>DE</x:v>
      </x:c>
      <x:c r="B111" s="14" t="str">
        <x:v>Industrials</x:v>
      </x:c>
      <x:c r="C111" s="14" t="str">
        <x:v>fragmented_vs_baseline</x:v>
      </x:c>
      <x:c r="D111" s="47" t="str">
        <x:v>Fragmented World vs baseline</x:v>
      </x:c>
      <x:c r="E111" s="14" t="str">
        <x:v>Fragmented vs baseline</x:v>
      </x:c>
      <x:c r="F111" s="14" t="str">
        <x:v>fragmented_world</x:v>
      </x:c>
      <x:c r="G111" s="14" t="str">
        <x:v>baseline</x:v>
      </x:c>
      <x:c r="H111" s="14" t="str">
        <x:v>2050</x:v>
      </x:c>
      <x:c r="I111" s="14" t="str">
        <x:v>base</x:v>
      </x:c>
      <x:c r="J111" s="14" t="str">
        <x:v>True</x:v>
      </x:c>
      <x:c r="K111" s="14" t="str">
        <x:v>CFP-2026-003-R17-20260804T234500Z</x:v>
      </x:c>
      <x:c r="L11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1" s="66" t="str">
        <x:v>-2.1989032800085906</x:v>
      </x:c>
      <x:c r="N111" s="68" t="str">
        <x:v>156035291063.10095</x:v>
      </x:c>
      <x:c r="O111" s="68" t="str">
        <x:v>152604225929.94348</x:v>
      </x:c>
      <x:c r="P111" s="68" t="str">
        <x:v>14871029621.789665</x:v>
      </x:c>
      <x:c r="Q111" s="68" t="str">
        <x:v>14316939032.110876</x:v>
      </x:c>
      <x:c r="R111" s="68" t="str">
        <x:v>-554090589.6787891</x:v>
      </x:c>
      <x:c r="S111" s="68" t="str">
        <x:v>8631149592.456448</x:v>
      </x:c>
      <x:c r="T111" s="66" t="str">
        <x:v>0.2566327653346339</x:v>
      </x:c>
      <x:c r="U111" s="66" t="str">
        <x:v>0.19415617030602625</x:v>
      </x:c>
      <x:c r="V111" s="66" t="str">
        <x:v>3.2751843410644863</x:v>
      </x:c>
      <x:c r="W111" s="68" t="str">
        <x:v>38163934.55213137</x:v>
      </x:c>
      <x:c r="X111" s="68" t="str">
        <x:v>28873021.598741554</x:v>
      </x:c>
      <x:c r="Y111" s="68" t="str">
        <x:v>487053633.52791643</x:v>
      </x:c>
      <x:c r="Z111" s="66" t="str">
        <x:v>-0.16604341275383083</x:v>
      </x:c>
      <x:c r="AA111" s="66" t="str">
        <x:v>-0.1840228466964784</x:v>
      </x:c>
      <x:c r="AB111" s="66" t="str">
        <x:v>-1.8488370205582767</x:v>
      </x:c>
      <x:c r="AC111" s="68" t="str">
        <x:v>10096213.572932344</x:v>
      </x:c>
      <x:c r="AD111" s="68" t="str">
        <x:v>3195184.8549545705</x:v>
      </x:c>
      <x:c r="AE111" s="68" t="str">
        <x:v>24872536.124244455</x:v>
      </x:c>
      <x:c r="AF111" s="68" t="str">
        <x:v>1224403.1340645086</x:v>
      </x:c>
      <x:c r="AG111" s="68" t="str">
        <x:v>27648618.464677047</x:v>
      </x:c>
      <x:c r="AH111" s="70" t="str">
        <x:v>353900.0</x:v>
      </x:c>
      <x:c r="AI111" s="70" t="str">
        <x:v>224000.0</x:v>
      </x:c>
      <x:c r="AJ111" s="70" t="str">
        <x:v>81736000.0</x:v>
      </x:c>
      <x:c r="AK111" s="68" t="str">
        <x:v>8079000000.0</x:v>
      </x:c>
      <x:c r="AL111" s="66" t="str">
        <x:v>0.1054287290454164</x:v>
      </x:c>
      <x:c r="AM111" s="70" t="str">
        <x:v>1.0</x:v>
      </x:c>
      <x:c r="AN111" s="70" t="str">
        <x:v>1.0</x:v>
      </x:c>
      <x:c r="AO111" s="66" t="str">
        <x:v>100.0</x:v>
      </x:c>
      <x:c r="AP111" s="14" t="str">
        <x:v>High</x:v>
      </x:c>
      <x:c r="AQ111" s="47" t="str">
        <x:v>Issuer facility-to-FEMA county match</x:v>
      </x:c>
      <x:c r="AR111" s="66" t="str">
        <x:v>0.1054287290454164</x:v>
      </x:c>
      <x:c r="AS111" s="66" t="str">
        <x:v>7.43690764334572</x:v>
      </x:c>
      <x:c r="AT111" s="66" t="str">
        <x:v>0.0</x:v>
      </x:c>
      <x:c r="AU111" s="66" t="str">
        <x:v>7.853230639934694</x:v>
      </x:c>
      <x:c r="AV111" s="66" t="str">
        <x:v>2.1999999999999997</x:v>
      </x:c>
      <x:c r="AW111" s="72" t="str">
        <x:v>0.75</x:v>
      </x:c>
      <x:c r="AX111" s="72" t="str">
        <x:v>0.5</x:v>
      </x:c>
      <x:c r="AY111" s="72" t="str">
        <x:v>0.5</x:v>
      </x:c>
      <x:c r="AZ111" s="72" t="str">
        <x:v>0.008</x:v>
      </x:c>
      <x:c r="BA111" s="72" t="str">
        <x:v>0.03</x:v>
      </x:c>
      <x:c r="BB111" s="72" t="str">
        <x:v>0.25</x:v>
      </x:c>
      <x:c r="BC111" s="72" t="str">
        <x:v>0.5</x:v>
      </x:c>
      <x:c r="BD111" s="72" t="str">
        <x:v>0.1</x:v>
      </x:c>
      <x:c r="BE111" s="72" t="str">
        <x:v>0.25</x:v>
      </x:c>
      <x:c r="BF111" s="14" t="str">
        <x:v>1.15</x:v>
      </x:c>
      <x:c r="BG111" s="72" t="str">
        <x:v>0.6</x:v>
      </x:c>
      <x:c r="BH111" s="74" t="str">
        <x:v>0.6823300710551012</x:v>
      </x:c>
      <x:c r="BI111" s="47" t="str">
        <x:v>Common scenario elasticity + issuer SEC CapEx/CFO dependency scale</x:v>
      </x:c>
      <x:c r="BJ111" s="47" t="str">
        <x:v>Modeled estimate using observed inputs + disclosed assumptions</x:v>
      </x:c>
      <x:c r="BK111" s="14" t="str">
        <x:v>False</x:v>
      </x:c>
      <x:c r="BL111" s="14" t="str">
        <x:v>False</x:v>
      </x:c>
      <x:c r="BM111" s="14" t="str">
        <x:v>False</x:v>
      </x:c>
      <x:c r="BN111" s="47" t="str">
        <x:v>Conditional scenario sensitivity; not a forecast or probability</x:v>
      </x:c>
      <x:c r="BO111" s="66" t="str">
        <x:v>102.2483421492748</x:v>
      </x:c>
    </x:row>
    <x:row r="112">
      <x:c r="A112" s="14" t="str">
        <x:v>DE</x:v>
      </x:c>
      <x:c r="B112" s="14" t="str">
        <x:v>Industrials</x:v>
      </x:c>
      <x:c r="C112" s="14" t="str">
        <x:v>fragmented_vs_baseline</x:v>
      </x:c>
      <x:c r="D112" s="47" t="str">
        <x:v>Fragmented World vs baseline</x:v>
      </x:c>
      <x:c r="E112" s="14" t="str">
        <x:v>Fragmented vs baseline</x:v>
      </x:c>
      <x:c r="F112" s="14" t="str">
        <x:v>fragmented_world</x:v>
      </x:c>
      <x:c r="G112" s="14" t="str">
        <x:v>baseline</x:v>
      </x:c>
      <x:c r="H112" s="14" t="str">
        <x:v>2050</x:v>
      </x:c>
      <x:c r="I112" s="14" t="str">
        <x:v>high</x:v>
      </x:c>
      <x:c r="J112" s="14" t="str">
        <x:v>True</x:v>
      </x:c>
      <x:c r="K112" s="14" t="str">
        <x:v>CFP-2026-003-R17-20260804T234500Z</x:v>
      </x:c>
      <x:c r="L11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2" s="66" t="str">
        <x:v>-4.296885369098813</x:v>
      </x:c>
      <x:c r="N112" s="68" t="str">
        <x:v>156035291063.10095</x:v>
      </x:c>
      <x:c r="O112" s="68" t="str">
        <x:v>149330633470.77982</x:v>
      </x:c>
      <x:c r="P112" s="68" t="str">
        <x:v>14871029621.789665</x:v>
      </x:c>
      <x:c r="Q112" s="68" t="str">
        <x:v>13806188753.504837</x:v>
      </x:c>
      <x:c r="R112" s="68" t="str">
        <x:v>-1064840868.2848282</x:v>
      </x:c>
      <x:c r="S112" s="68" t="str">
        <x:v>8631149592.456448</x:v>
      </x:c>
      <x:c r="T112" s="66" t="str">
        <x:v>1.0913508716089042</x:v>
      </x:c>
      <x:c r="U112" s="66" t="str">
        <x:v>0.6105138871979621</x:v>
      </x:c>
      <x:c r="V112" s="66" t="str">
        <x:v>5.458640568440811</x:v>
      </x:c>
      <x:c r="W112" s="68" t="str">
        <x:v>162295111.39461982</x:v>
      </x:c>
      <x:c r="X112" s="68" t="str">
        <x:v>90789701.01034848</x:v>
      </x:c>
      <x:c r="Y112" s="68" t="str">
        <x:v>811756055.8798608</x:v>
      </x:c>
      <x:c r="Z112" s="66" t="str">
        <x:v>-0.6335515739133604</x:v>
      </x:c>
      <x:c r="AA112" s="66" t="str">
        <x:v>-0.581938760921664</x:v>
      </x:c>
      <x:c r="AB112" s="66" t="str">
        <x:v>-3.081395034263791</x:v>
      </x:c>
      <x:c r="AC112" s="68" t="str">
        <x:v>31391481.29098046</x:v>
      </x:c>
      <x:c r="AD112" s="68" t="str">
        <x:v>14901861.703545399</x:v>
      </x:c>
      <x:c r="AE112" s="68" t="str">
        <x:v>116001768.40009397</x:v>
      </x:c>
      <x:c r="AF112" s="68" t="str">
        <x:v>2314121.923381921</x:v>
      </x:c>
      <x:c r="AG112" s="68" t="str">
        <x:v>88475579.08696656</x:v>
      </x:c>
      <x:c r="AH112" s="70" t="str">
        <x:v>353900.0</x:v>
      </x:c>
      <x:c r="AI112" s="70" t="str">
        <x:v>224000.0</x:v>
      </x:c>
      <x:c r="AJ112" s="70" t="str">
        <x:v>81736000.0</x:v>
      </x:c>
      <x:c r="AK112" s="68" t="str">
        <x:v>8079000000.0</x:v>
      </x:c>
      <x:c r="AL112" s="66" t="str">
        <x:v>0.1054287290454164</x:v>
      </x:c>
      <x:c r="AM112" s="70" t="str">
        <x:v>1.0</x:v>
      </x:c>
      <x:c r="AN112" s="70" t="str">
        <x:v>1.0</x:v>
      </x:c>
      <x:c r="AO112" s="66" t="str">
        <x:v>100.0</x:v>
      </x:c>
      <x:c r="AP112" s="14" t="str">
        <x:v>High</x:v>
      </x:c>
      <x:c r="AQ112" s="47" t="str">
        <x:v>Issuer facility-to-FEMA county match</x:v>
      </x:c>
      <x:c r="AR112" s="66" t="str">
        <x:v>0.1054287290454164</x:v>
      </x:c>
      <x:c r="AS112" s="66" t="str">
        <x:v>7.43690764334572</x:v>
      </x:c>
      <x:c r="AT112" s="66" t="str">
        <x:v>0.0</x:v>
      </x:c>
      <x:c r="AU112" s="66" t="str">
        <x:v>7.853230639934694</x:v>
      </x:c>
      <x:c r="AV112" s="66" t="str">
        <x:v>2.1999999999999997</x:v>
      </x:c>
      <x:c r="AW112" s="72" t="str">
        <x:v>1.0</x:v>
      </x:c>
      <x:c r="AX112" s="72" t="str">
        <x:v>0.3</x:v>
      </x:c>
      <x:c r="AY112" s="72" t="str">
        <x:v>0.75</x:v>
      </x:c>
      <x:c r="AZ112" s="72" t="str">
        <x:v>0.016</x:v>
      </x:c>
      <x:c r="BA112" s="72" t="str">
        <x:v>0.01</x:v>
      </x:c>
      <x:c r="BB112" s="72" t="str">
        <x:v>0.3375</x:v>
      </x:c>
      <x:c r="BC112" s="72" t="str">
        <x:v>0.3</x:v>
      </x:c>
      <x:c r="BD112" s="72" t="str">
        <x:v>0.2</x:v>
      </x:c>
      <x:c r="BE112" s="72" t="str">
        <x:v>0.4</x:v>
      </x:c>
      <x:c r="BF112" s="14" t="str">
        <x:v>1.15</x:v>
      </x:c>
      <x:c r="BG112" s="72" t="str">
        <x:v>1.0</x:v>
      </x:c>
      <x:c r="BH112" s="74" t="str">
        <x:v>0.6823300710551012</x:v>
      </x:c>
      <x:c r="BI112" s="47" t="str">
        <x:v>Common scenario elasticity + issuer SEC CapEx/CFO dependency scale</x:v>
      </x:c>
      <x:c r="BJ112" s="47" t="str">
        <x:v>Modeled estimate using observed inputs + disclosed assumptions</x:v>
      </x:c>
      <x:c r="BK112" s="14" t="str">
        <x:v>False</x:v>
      </x:c>
      <x:c r="BL112" s="14" t="str">
        <x:v>False</x:v>
      </x:c>
      <x:c r="BM112" s="14" t="str">
        <x:v>False</x:v>
      </x:c>
      <x:c r="BN112" s="47" t="str">
        <x:v>Conditional scenario sensitivity; not a forecast or probability</x:v>
      </x:c>
      <x:c r="BO112" s="66" t="str">
        <x:v>104.48980723947246</x:v>
      </x:c>
    </x:row>
    <x:row r="113">
      <x:c r="A113" s="14" t="str">
        <x:v>DUK</x:v>
      </x:c>
      <x:c r="B113" s="14" t="str">
        <x:v>Utilities</x:v>
      </x:c>
      <x:c r="C113" s="14" t="str">
        <x:v>fragmented_vs_baseline</x:v>
      </x:c>
      <x:c r="D113" s="47" t="str">
        <x:v>Fragmented World vs baseline</x:v>
      </x:c>
      <x:c r="E113" s="14" t="str">
        <x:v>Fragmented vs baseline</x:v>
      </x:c>
      <x:c r="F113" s="14" t="str">
        <x:v>fragmented_world</x:v>
      </x:c>
      <x:c r="G113" s="14" t="str">
        <x:v>baseline</x:v>
      </x:c>
      <x:c r="H113" s="14" t="str">
        <x:v>2050</x:v>
      </x:c>
      <x:c r="I113" s="14" t="str">
        <x:v>low</x:v>
      </x:c>
      <x:c r="J113" s="14" t="str">
        <x:v>True</x:v>
      </x:c>
      <x:c r="K113" s="14" t="str">
        <x:v>CFP-2026-003-R17-20260804T234500Z</x:v>
      </x:c>
      <x:c r="L11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3" s="66" t="str">
        <x:v>-22.390451377953426</x:v>
      </x:c>
      <x:c r="N113" s="68" t="str">
        <x:v>50132194683.06894</x:v>
      </x:c>
      <x:c r="O113" s="68" t="str">
        <x:v>38907370007.85544</x:v>
      </x:c>
      <x:c r="P113" s="68" t="str">
        <x:v>2512681140.1064544</x:v>
      </x:c>
      <x:c r="Q113" s="68" t="str">
        <x:v>1823371603.0427291</x:v>
      </x:c>
      <x:c r="R113" s="68" t="str">
        <x:v>-689309537.0637252</x:v>
      </x:c>
      <x:c r="S113" s="68" t="str">
        <x:v>1531556722.6890755</x:v>
      </x:c>
      <x:c r="T113" s="66" t="str">
        <x:v>21.570328993399084</x:v>
      </x:c>
      <x:c r="U113" s="66" t="str">
        <x:v>1.278210894386752</x:v>
      </x:c>
      <x:c r="V113" s="66" t="str">
        <x:v>4.584687753446878</x:v>
      </x:c>
      <x:c r="W113" s="68" t="str">
        <x:v>541993588.4760532</x:v>
      </x:c>
      <x:c r="X113" s="68" t="str">
        <x:v>32117364.07404195</x:v>
      </x:c>
      <x:c r="Y113" s="68" t="str">
        <x:v>115198584.51362999</x:v>
      </x:c>
      <x:c r="Z113" s="66" t="str">
        <x:v>-18.131672336411576</x:v>
      </x:c>
      <x:c r="AA113" s="66" t="str">
        <x:v>-0.9879576409820824</x:v>
      </x:c>
      <x:c r="AB113" s="66" t="str">
        <x:v>-3.270821400559761</x:v>
      </x:c>
      <x:c r="AC113" s="68" t="str">
        <x:v>540627456.1903391</x:v>
      </x:c>
      <x:c r="AD113" s="68" t="str">
        <x:v>430435.8727630088</x:v>
      </x:c>
      <x:c r="AE113" s="68" t="str">
        <x:v>935696.4129511274</x:v>
      </x:c>
      <x:c r="AF113" s="68" t="str">
        <x:v>30715870.755830828</x:v>
      </x:c>
      <x:c r="AG113" s="68" t="str">
        <x:v>1401493.3182111247</x:v>
      </x:c>
      <x:c r="AH113" s="70" t="str">
        <x:v>79756000.0</x:v>
      </x:c>
      <x:c r="AI113" s="70" t="str">
        <x:v>254000.0</x:v>
      </x:c>
      <x:c r="AJ113" s="70" t="str">
        <x:v>27607700.0</x:v>
      </x:c>
      <x:c r="AK113" s="68" t="str">
        <x:v>129959000000.0</x:v>
      </x:c>
      <x:c r="AL113" s="66" t="str">
        <x:v>0.17565995555046018</x:v>
      </x:c>
      <x:c r="AM113" s="70" t="str">
        <x:v>48.0</x:v>
      </x:c>
      <x:c r="AN113" s="70" t="str">
        <x:v>49.0</x:v>
      </x:c>
      <x:c r="AO113" s="66" t="str">
        <x:v>97.95918367346938</x:v>
      </x:c>
      <x:c r="AP113" s="14" t="str">
        <x:v>High</x:v>
      </x:c>
      <x:c r="AQ113" s="47" t="str">
        <x:v>Issuer facility-to-FEMA county match</x:v>
      </x:c>
      <x:c r="AR113" s="66" t="str">
        <x:v>0.17565995555046018</x:v>
      </x:c>
      <x:c r="AS113" s="66" t="str">
        <x:v>7.43690764334572</x:v>
      </x:c>
      <x:c r="AT113" s="66" t="str">
        <x:v>0.0</x:v>
      </x:c>
      <x:c r="AU113" s="66" t="str">
        <x:v>5.116136979477691</x:v>
      </x:c>
      <x:c r="AV113" s="66" t="str">
        <x:v>2.0</x:v>
      </x:c>
      <x:c r="AW113" s="72" t="str">
        <x:v>0.5</x:v>
      </x:c>
      <x:c r="AX113" s="72" t="str">
        <x:v>0.7</x:v>
      </x:c>
      <x:c r="AY113" s="72" t="str">
        <x:v>0.25</x:v>
      </x:c>
      <x:c r="AZ113" s="72" t="str">
        <x:v>0.0025</x:v>
      </x:c>
      <x:c r="BA113" s="72" t="str">
        <x:v>0.05</x:v>
      </x:c>
      <x:c r="BB113" s="72" t="str">
        <x:v>0.39</x:v>
      </x:c>
      <x:c r="BC113" s="72" t="str">
        <x:v>0.7</x:v>
      </x:c>
      <x:c r="BD113" s="72" t="str">
        <x:v>0.05</x:v>
      </x:c>
      <x:c r="BE113" s="72" t="str">
        <x:v>0.15</x:v>
      </x:c>
      <x:c r="BF113" s="14" t="str">
        <x:v>1.15</x:v>
      </x:c>
      <x:c r="BG113" s="72" t="str">
        <x:v>0.35</x:v>
      </x:c>
      <x:c r="BH113" s="74" t="str">
        <x:v>1.6373884833738848</x:v>
      </x:c>
      <x:c r="BI113" s="47" t="str">
        <x:v>Common scenario elasticity + issuer SEC CapEx/CFO dependency scale</x:v>
      </x:c>
      <x:c r="BJ113" s="47" t="str">
        <x:v>Modeled estimate using observed inputs + disclosed assumptions</x:v>
      </x:c>
      <x:c r="BK113" s="14" t="str">
        <x:v>False</x:v>
      </x:c>
      <x:c r="BL113" s="14" t="str">
        <x:v>False</x:v>
      </x:c>
      <x:c r="BM113" s="14" t="str">
        <x:v>False</x:v>
      </x:c>
      <x:c r="BN113" s="47" t="str">
        <x:v>Conditional scenario sensitivity; not a forecast or probability</x:v>
      </x:c>
      <x:c r="BO113" s="66" t="str">
        <x:v>128.85012446985544</x:v>
      </x:c>
    </x:row>
    <x:row r="114">
      <x:c r="A114" s="14" t="str">
        <x:v>DUK</x:v>
      </x:c>
      <x:c r="B114" s="14" t="str">
        <x:v>Utilities</x:v>
      </x:c>
      <x:c r="C114" s="14" t="str">
        <x:v>fragmented_vs_baseline</x:v>
      </x:c>
      <x:c r="D114" s="47" t="str">
        <x:v>Fragmented World vs baseline</x:v>
      </x:c>
      <x:c r="E114" s="14" t="str">
        <x:v>Fragmented vs baseline</x:v>
      </x:c>
      <x:c r="F114" s="14" t="str">
        <x:v>fragmented_world</x:v>
      </x:c>
      <x:c r="G114" s="14" t="str">
        <x:v>baseline</x:v>
      </x:c>
      <x:c r="H114" s="14" t="str">
        <x:v>2050</x:v>
      </x:c>
      <x:c r="I114" s="14" t="str">
        <x:v>base</x:v>
      </x:c>
      <x:c r="J114" s="14" t="str">
        <x:v>True</x:v>
      </x:c>
      <x:c r="K114" s="14" t="str">
        <x:v>CFP-2026-003-R17-20260804T234500Z</x:v>
      </x:c>
      <x:c r="L11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4" s="66" t="str">
        <x:v>-77.69294556291098</x:v>
      </x:c>
      <x:c r="N114" s="68" t="str">
        <x:v>50132194683.06894</x:v>
      </x:c>
      <x:c r="O114" s="68" t="str">
        <x:v>11183015958.459635</x:v>
      </x:c>
      <x:c r="P114" s="68" t="str">
        <x:v>2512681140.1064544</x:v>
      </x:c>
      <x:c r="Q114" s="68" t="str">
        <x:v>0.0</x:v>
      </x:c>
      <x:c r="R114" s="68" t="str">
        <x:v>-2512681140.1064544</x:v>
      </x:c>
      <x:c r="S114" s="68" t="str">
        <x:v>1531556722.6890755</x:v>
      </x:c>
      <x:c r="T114" s="66" t="str">
        <x:v>90.90639196602581</x:v>
      </x:c>
      <x:c r="U114" s="66" t="str">
        <x:v>3.581572932921585</x:v>
      </x:c>
      <x:c r="V114" s="66" t="str">
        <x:v>7.859464720194646</x:v>
      </x:c>
      <x:c r="W114" s="68" t="str">
        <x:v>2284187766.081579</x:v>
      </x:c>
      <x:c r="X114" s="68" t="str">
        <x:v>89993507.60467826</x:v>
      </x:c>
      <x:c r="Y114" s="68" t="str">
        <x:v>197483287.7376514</x:v>
      </x:c>
      <x:c r="Z114" s="66" t="str">
        <x:v>-70.17947944980673</x:v>
      </x:c>
      <x:c r="AA114" s="66" t="str">
        <x:v>-2.3404386366267786</x:v>
      </x:c>
      <x:c r="AB114" s="66" t="str">
        <x:v>-5.173027476477462</x:v>
      </x:c>
      <x:c r="AC114" s="68" t="str">
        <x:v>2275313957.962114</x:v>
      </x:c>
      <x:c r="AD114" s="68" t="str">
        <x:v>3623111.398028843</x:v>
      </x:c>
      <x:c r="AE114" s="68" t="str">
        <x:v>5250696.721436268</x:v>
      </x:c>
      <x:c r="AF114" s="68" t="str">
        <x:v>85321863.21064118</x:v>
      </x:c>
      <x:c r="AG114" s="68" t="str">
        <x:v>4671644.394037083</x:v>
      </x:c>
      <x:c r="AH114" s="70" t="str">
        <x:v>79756000.0</x:v>
      </x:c>
      <x:c r="AI114" s="70" t="str">
        <x:v>254000.0</x:v>
      </x:c>
      <x:c r="AJ114" s="70" t="str">
        <x:v>27607700.0</x:v>
      </x:c>
      <x:c r="AK114" s="68" t="str">
        <x:v>129959000000.0</x:v>
      </x:c>
      <x:c r="AL114" s="66" t="str">
        <x:v>0.17565995555046018</x:v>
      </x:c>
      <x:c r="AM114" s="70" t="str">
        <x:v>48.0</x:v>
      </x:c>
      <x:c r="AN114" s="70" t="str">
        <x:v>49.0</x:v>
      </x:c>
      <x:c r="AO114" s="66" t="str">
        <x:v>97.95918367346938</x:v>
      </x:c>
      <x:c r="AP114" s="14" t="str">
        <x:v>High</x:v>
      </x:c>
      <x:c r="AQ114" s="47" t="str">
        <x:v>Issuer facility-to-FEMA county match</x:v>
      </x:c>
      <x:c r="AR114" s="66" t="str">
        <x:v>0.17565995555046018</x:v>
      </x:c>
      <x:c r="AS114" s="66" t="str">
        <x:v>7.43690764334572</x:v>
      </x:c>
      <x:c r="AT114" s="66" t="str">
        <x:v>0.0</x:v>
      </x:c>
      <x:c r="AU114" s="66" t="str">
        <x:v>5.116136979477691</x:v>
      </x:c>
      <x:c r="AV114" s="66" t="str">
        <x:v>2.0</x:v>
      </x:c>
      <x:c r="AW114" s="72" t="str">
        <x:v>0.75</x:v>
      </x:c>
      <x:c r="AX114" s="72" t="str">
        <x:v>0.5</x:v>
      </x:c>
      <x:c r="AY114" s="72" t="str">
        <x:v>0.5</x:v>
      </x:c>
      <x:c r="AZ114" s="72" t="str">
        <x:v>0.005</x:v>
      </x:c>
      <x:c r="BA114" s="72" t="str">
        <x:v>0.03</x:v>
      </x:c>
      <x:c r="BB114" s="72" t="str">
        <x:v>0.65</x:v>
      </x:c>
      <x:c r="BC114" s="72" t="str">
        <x:v>0.5</x:v>
      </x:c>
      <x:c r="BD114" s="72" t="str">
        <x:v>0.1</x:v>
      </x:c>
      <x:c r="BE114" s="72" t="str">
        <x:v>0.25</x:v>
      </x:c>
      <x:c r="BF114" s="14" t="str">
        <x:v>1.15</x:v>
      </x:c>
      <x:c r="BG114" s="72" t="str">
        <x:v>0.6</x:v>
      </x:c>
      <x:c r="BH114" s="74" t="str">
        <x:v>1.6373884833738848</x:v>
      </x:c>
      <x:c r="BI114" s="47" t="str">
        <x:v>Common scenario elasticity + issuer SEC CapEx/CFO dependency scale</x:v>
      </x:c>
      <x:c r="BJ114" s="47" t="str">
        <x:v>Modeled estimate using observed inputs + disclosed assumptions</x:v>
      </x:c>
      <x:c r="BK114" s="14" t="str">
        <x:v>False</x:v>
      </x:c>
      <x:c r="BL114" s="14" t="str">
        <x:v>False</x:v>
      </x:c>
      <x:c r="BM114" s="14" t="str">
        <x:v>False</x:v>
      </x:c>
      <x:c r="BN114" s="47" t="str">
        <x:v>Conditional scenario sensitivity; not a forecast or probability</x:v>
      </x:c>
      <x:c r="BO114" s="66" t="str">
        <x:v>448.2886805249112</x:v>
      </x:c>
    </x:row>
    <x:row r="115">
      <x:c r="A115" s="14" t="str">
        <x:v>DUK</x:v>
      </x:c>
      <x:c r="B115" s="14" t="str">
        <x:v>Utilities</x:v>
      </x:c>
      <x:c r="C115" s="14" t="str">
        <x:v>fragmented_vs_baseline</x:v>
      </x:c>
      <x:c r="D115" s="47" t="str">
        <x:v>Fragmented World vs baseline</x:v>
      </x:c>
      <x:c r="E115" s="14" t="str">
        <x:v>Fragmented vs baseline</x:v>
      </x:c>
      <x:c r="F115" s="14" t="str">
        <x:v>fragmented_world</x:v>
      </x:c>
      <x:c r="G115" s="14" t="str">
        <x:v>baseline</x:v>
      </x:c>
      <x:c r="H115" s="14" t="str">
        <x:v>2050</x:v>
      </x:c>
      <x:c r="I115" s="14" t="str">
        <x:v>high</x:v>
      </x:c>
      <x:c r="J115" s="14" t="str">
        <x:v>True</x:v>
      </x:c>
      <x:c r="K115" s="14" t="str">
        <x:v>CFP-2026-003-R17-20260804T234500Z</x:v>
      </x:c>
      <x:c r="L115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5" s="66" t="str">
        <x:v>-84.18151791058364</x:v>
      </x:c>
      <x:c r="N115" s="68" t="str">
        <x:v>50132194683.06894</x:v>
      </x:c>
      <x:c r="O115" s="68" t="str">
        <x:v>7930152236.972601</x:v>
      </x:c>
      <x:c r="P115" s="68" t="str">
        <x:v>2512681140.1064544</x:v>
      </x:c>
      <x:c r="Q115" s="68" t="str">
        <x:v>0.0</x:v>
      </x:c>
      <x:c r="R115" s="68" t="str">
        <x:v>-2512681140.1064544</x:v>
      </x:c>
      <x:c r="S115" s="68" t="str">
        <x:v>1531556722.6890755</x:v>
      </x:c>
      <x:c r="T115" s="66" t="str">
        <x:v>283.1981915164849</x:v>
      </x:c>
      <x:c r="U115" s="66" t="str">
        <x:v>7.012731568541368</x:v>
      </x:c>
      <x:c r="V115" s="66" t="str">
        <x:v>13.099107866991078</x:v>
      </x:c>
      <x:c r="W115" s="68" t="str">
        <x:v>7115867547.357273</x:v>
      </x:c>
      <x:c r="X115" s="68" t="str">
        <x:v>176207583.52903047</x:v>
      </x:c>
      <x:c r="Y115" s="68" t="str">
        <x:v>329138812.8960857</x:v>
      </x:c>
      <x:c r="Z115" s="66" t="str">
        <x:v>-76.2907405277306</x:v>
      </x:c>
      <x:c r="AA115" s="66" t="str">
        <x:v>-2.9747841423562464</x:v>
      </x:c>
      <x:c r="AB115" s="66" t="str">
        <x:v>-4.915993240496784</x:v>
      </x:c>
      <x:c r="AC115" s="68" t="str">
        <x:v>7074481440.64266</x:v>
      </x:c>
      <x:c r="AD115" s="68" t="str">
        <x:v>16897646.75312737</x:v>
      </x:c>
      <x:c r="AE115" s="68" t="str">
        <x:v>24488459.96148633</x:v>
      </x:c>
      <x:c r="AF115" s="68" t="str">
        <x:v>161258321.4681118</x:v>
      </x:c>
      <x:c r="AG115" s="68" t="str">
        <x:v>14949262.060918665</x:v>
      </x:c>
      <x:c r="AH115" s="70" t="str">
        <x:v>79756000.0</x:v>
      </x:c>
      <x:c r="AI115" s="70" t="str">
        <x:v>254000.0</x:v>
      </x:c>
      <x:c r="AJ115" s="70" t="str">
        <x:v>27607700.0</x:v>
      </x:c>
      <x:c r="AK115" s="68" t="str">
        <x:v>129959000000.0</x:v>
      </x:c>
      <x:c r="AL115" s="66" t="str">
        <x:v>0.17565995555046018</x:v>
      </x:c>
      <x:c r="AM115" s="70" t="str">
        <x:v>48.0</x:v>
      </x:c>
      <x:c r="AN115" s="70" t="str">
        <x:v>49.0</x:v>
      </x:c>
      <x:c r="AO115" s="66" t="str">
        <x:v>97.95918367346938</x:v>
      </x:c>
      <x:c r="AP115" s="14" t="str">
        <x:v>High</x:v>
      </x:c>
      <x:c r="AQ115" s="47" t="str">
        <x:v>Issuer facility-to-FEMA county match</x:v>
      </x:c>
      <x:c r="AR115" s="66" t="str">
        <x:v>0.17565995555046018</x:v>
      </x:c>
      <x:c r="AS115" s="66" t="str">
        <x:v>7.43690764334572</x:v>
      </x:c>
      <x:c r="AT115" s="66" t="str">
        <x:v>0.0</x:v>
      </x:c>
      <x:c r="AU115" s="66" t="str">
        <x:v>5.116136979477691</x:v>
      </x:c>
      <x:c r="AV115" s="66" t="str">
        <x:v>2.0</x:v>
      </x:c>
      <x:c r="AW115" s="72" t="str">
        <x:v>1.0</x:v>
      </x:c>
      <x:c r="AX115" s="72" t="str">
        <x:v>0.3</x:v>
      </x:c>
      <x:c r="AY115" s="72" t="str">
        <x:v>0.75</x:v>
      </x:c>
      <x:c r="AZ115" s="72" t="str">
        <x:v>0.01</x:v>
      </x:c>
      <x:c r="BA115" s="72" t="str">
        <x:v>0.01</x:v>
      </x:c>
      <x:c r="BB115" s="72" t="str">
        <x:v>0.8775000000000001</x:v>
      </x:c>
      <x:c r="BC115" s="72" t="str">
        <x:v>0.3</x:v>
      </x:c>
      <x:c r="BD115" s="72" t="str">
        <x:v>0.2</x:v>
      </x:c>
      <x:c r="BE115" s="72" t="str">
        <x:v>0.4</x:v>
      </x:c>
      <x:c r="BF115" s="14" t="str">
        <x:v>1.15</x:v>
      </x:c>
      <x:c r="BG115" s="72" t="str">
        <x:v>1.0</x:v>
      </x:c>
      <x:c r="BH115" s="74" t="str">
        <x:v>1.6373884833738848</x:v>
      </x:c>
      <x:c r="BI115" s="47" t="str">
        <x:v>Common scenario elasticity + issuer SEC CapEx/CFO dependency scale</x:v>
      </x:c>
      <x:c r="BJ115" s="47" t="str">
        <x:v>Modeled estimate using observed inputs + disclosed assumptions</x:v>
      </x:c>
      <x:c r="BK115" s="14" t="str">
        <x:v>False</x:v>
      </x:c>
      <x:c r="BL115" s="14" t="str">
        <x:v>False</x:v>
      </x:c>
      <x:c r="BM115" s="14" t="str">
        <x:v>False</x:v>
      </x:c>
      <x:c r="BN115" s="47" t="str">
        <x:v>Conditional scenario sensitivity; not a forecast or probability</x:v>
      </x:c>
      <x:c r="BO115" s="66" t="str">
        <x:v>632.1719077389025</x:v>
      </x:c>
    </x:row>
    <x:row r="116">
      <x:c r="A116" s="14" t="str">
        <x:v>MSFT</x:v>
      </x:c>
      <x:c r="B116" s="14" t="str">
        <x:v>Technology</x:v>
      </x:c>
      <x:c r="C116" s="14" t="str">
        <x:v>fragmented_vs_baseline</x:v>
      </x:c>
      <x:c r="D116" s="47" t="str">
        <x:v>Fragmented World vs baseline</x:v>
      </x:c>
      <x:c r="E116" s="14" t="str">
        <x:v>Fragmented vs baseline</x:v>
      </x:c>
      <x:c r="F116" s="14" t="str">
        <x:v>fragmented_world</x:v>
      </x:c>
      <x:c r="G116" s="14" t="str">
        <x:v>baseline</x:v>
      </x:c>
      <x:c r="H116" s="14" t="str">
        <x:v>2050</x:v>
      </x:c>
      <x:c r="I116" s="14" t="str">
        <x:v>low</x:v>
      </x:c>
      <x:c r="J116" s="14" t="str">
        <x:v>True</x:v>
      </x:c>
      <x:c r="K116" s="14" t="str">
        <x:v>CFP-2026-003-R17-20260804T234500Z</x:v>
      </x:c>
      <x:c r="L116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6" s="66" t="str">
        <x:v>-1.4248454392230214</x:v>
      </x:c>
      <x:c r="N116" s="68" t="str">
        <x:v>1056700433995.6056</x:v>
      </x:c>
      <x:c r="O116" s="68" t="str">
        <x:v>1041644086055.5693</x:v>
      </x:c>
      <x:c r="P116" s="68" t="str">
        <x:v>136222325961.35968</x:v>
      </x:c>
      <x:c r="Q116" s="68" t="str">
        <x:v>132417761782.2366</x:v>
      </x:c>
      <x:c r="R116" s="68" t="str">
        <x:v>-3804564179.1230774</x:v>
      </x:c>
      <x:c r="S116" s="68" t="str">
        <x:v>73477040696.4498</x:v>
      </x:c>
      <x:c r="T116" s="66" t="str">
        <x:v>0.0025431820653535114</x:v>
      </x:c>
      <x:c r="U116" s="66" t="str">
        <x:v>0.06295477665217171</x:v>
      </x:c>
      <x:c r="V116" s="66" t="str">
        <x:v>2.7274099969154393</x:v>
      </x:c>
      <x:c r="W116" s="68" t="str">
        <x:v>3464381.7628567</x:v>
      </x:c>
      <x:c r="X116" s="68" t="str">
        <x:v>85758461.05936731</x:v>
      </x:c>
      <x:c r="Y116" s="68" t="str">
        <x:v>3715341336.3008595</x:v>
      </x:c>
      <x:c r="Z116" s="66" t="str">
        <x:v>-0.0017575480003646344</x:v>
      </x:c>
      <x:c r="AA116" s="66" t="str">
        <x:v>-0.05759805177204544</x:v>
      </x:c>
      <x:c r="AB116" s="66" t="str">
        <x:v>-1.365489839450611</x:v>
      </x:c>
      <x:c r="AC116" s="68" t="str">
        <x:v>972785.0724443998</x:v>
      </x:c>
      <x:c r="AD116" s="68" t="str">
        <x:v>439061.5365124723</x:v>
      </x:c>
      <x:c r="AE116" s="68" t="str">
        <x:v>2052535.153899828</x:v>
      </x:c>
      <x:c r="AF116" s="68" t="str">
        <x:v>9777996.774139704</x:v>
      </x:c>
      <x:c r="AG116" s="68" t="str">
        <x:v>75980464.28522761</x:v>
      </x:c>
      <x:c r="AH116" s="70" t="str">
        <x:v>143510.0</x:v>
      </x:c>
      <x:c r="AI116" s="70" t="str">
        <x:v>259090.0</x:v>
      </x:c>
      <x:c r="AJ116" s="70" t="str">
        <x:v>15140000.0</x:v>
      </x:c>
      <x:c r="AK116" s="68" t="str">
        <x:v>261126000000.0</x:v>
      </x:c>
      <x:c r="AL116" s="66" t="str">
        <x:v>0.18089619337783003</x:v>
      </x:c>
      <x:c r="AM116" s="70" t="str">
        <x:v>0.0</x:v>
      </x:c>
      <x:c r="AN116" s="70" t="str">
        <x:v>0.0</x:v>
      </x:c>
      <x:c r="AO116" s="66" t="str"/>
      <x:c r="AP116" s="14" t="str">
        <x:v>Unverified</x:v>
      </x:c>
      <x:c r="AQ116" s="47" t="str">
        <x:v>Proxy fallback; no issuer facilities in governed match file</x:v>
      </x:c>
      <x:c r="AR116" s="66" t="str"/>
      <x:c r="AS116" s="66" t="str">
        <x:v>7.43690764334572</x:v>
      </x:c>
      <x:c r="AT116" s="66" t="str">
        <x:v>0.0</x:v>
      </x:c>
      <x:c r="AU116" s="66" t="str">
        <x:v>9.627276973766637</x:v>
      </x:c>
      <x:c r="AV116" s="66" t="str">
        <x:v>2.5</x:v>
      </x:c>
      <x:c r="AW116" s="72" t="str">
        <x:v>0.5</x:v>
      </x:c>
      <x:c r="AX116" s="72" t="str">
        <x:v>0.7</x:v>
      </x:c>
      <x:c r="AY116" s="72" t="str">
        <x:v>0.25</x:v>
      </x:c>
      <x:c r="AZ116" s="72" t="str">
        <x:v>0.01</x:v>
      </x:c>
      <x:c r="BA116" s="72" t="str">
        <x:v>0.05</x:v>
      </x:c>
      <x:c r="BB116" s="72" t="str">
        <x:v>0.06</x:v>
      </x:c>
      <x:c r="BC116" s="72" t="str">
        <x:v>0.7</x:v>
      </x:c>
      <x:c r="BD116" s="72" t="str">
        <x:v>0.05</x:v>
      </x:c>
      <x:c r="BE116" s="72" t="str">
        <x:v>0.15</x:v>
      </x:c>
      <x:c r="BF116" s="14" t="str">
        <x:v>1.15</x:v>
      </x:c>
      <x:c r="BG116" s="72" t="str">
        <x:v>0.35</x:v>
      </x:c>
      <x:c r="BH116" s="74" t="str">
        <x:v>0.974074998898371</x:v>
      </x:c>
      <x:c r="BI116" s="47" t="str">
        <x:v>Common scenario elasticity + issuer SEC CapEx/CFO dependency scale</x:v>
      </x:c>
      <x:c r="BJ116" s="47" t="str">
        <x:v>Modeled estimate using observed inputs + disclosed assumptions</x:v>
      </x:c>
      <x:c r="BK116" s="14" t="str">
        <x:v>False</x:v>
      </x:c>
      <x:c r="BL116" s="14" t="str">
        <x:v>False</x:v>
      </x:c>
      <x:c r="BM116" s="14" t="str">
        <x:v>False</x:v>
      </x:c>
      <x:c r="BN116" s="47" t="str">
        <x:v>Conditional scenario sensitivity; not a forecast or probability</x:v>
      </x:c>
      <x:c r="BO116" s="66" t="str">
        <x:v>101.44544073562119</x:v>
      </x:c>
    </x:row>
    <x:row r="117">
      <x:c r="A117" s="14" t="str">
        <x:v>MSFT</x:v>
      </x:c>
      <x:c r="B117" s="14" t="str">
        <x:v>Technology</x:v>
      </x:c>
      <x:c r="C117" s="14" t="str">
        <x:v>fragmented_vs_baseline</x:v>
      </x:c>
      <x:c r="D117" s="47" t="str">
        <x:v>Fragmented World vs baseline</x:v>
      </x:c>
      <x:c r="E117" s="14" t="str">
        <x:v>Fragmented vs baseline</x:v>
      </x:c>
      <x:c r="F117" s="14" t="str">
        <x:v>fragmented_world</x:v>
      </x:c>
      <x:c r="G117" s="14" t="str">
        <x:v>baseline</x:v>
      </x:c>
      <x:c r="H117" s="14" t="str">
        <x:v>2050</x:v>
      </x:c>
      <x:c r="I117" s="14" t="str">
        <x:v>base</x:v>
      </x:c>
      <x:c r="J117" s="14" t="str">
        <x:v>True</x:v>
      </x:c>
      <x:c r="K117" s="14" t="str">
        <x:v>CFP-2026-003-R17-20260804T234500Z</x:v>
      </x:c>
      <x:c r="L117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7" s="66" t="str">
        <x:v>-2.538859584592845</x:v>
      </x:c>
      <x:c r="N117" s="68" t="str">
        <x:v>1056700433995.6056</x:v>
      </x:c>
      <x:c r="O117" s="68" t="str">
        <x:v>1029872293746.674</x:v>
      </x:c>
      <x:c r="P117" s="68" t="str">
        <x:v>136222325961.35968</x:v>
      </x:c>
      <x:c r="Q117" s="68" t="str">
        <x:v>129553432355.61769</x:v>
      </x:c>
      <x:c r="R117" s="68" t="str">
        <x:v>-6668893605.741989</x:v>
      </x:c>
      <x:c r="S117" s="68" t="str">
        <x:v>73477040696.4498</x:v>
      </x:c>
      <x:c r="T117" s="66" t="str">
        <x:v>0.014173677226178197</x:v>
      </x:c>
      <x:c r="U117" s="66" t="str">
        <x:v>0.205861494769973</x:v>
      </x:c>
      <x:c r="V117" s="66" t="str">
        <x:v>4.675559994712181</x:v>
      </x:c>
      <x:c r="W117" s="68" t="str">
        <x:v>19307712.791755468</x:v>
      </x:c>
      <x:c r="X117" s="68" t="str">
        <x:v>280429316.4344801</x:v>
      </x:c>
      <x:c r="Y117" s="68" t="str">
        <x:v>6369156576.5157585</x:v>
      </x:c>
      <x:c r="Z117" s="66" t="str">
        <x:v>-0.008420477628416679</x:v>
      </x:c>
      <x:c r="AA117" s="66" t="str">
        <x:v>-0.18959938219194028</x:v>
      </x:c>
      <x:c r="AB117" s="66" t="str">
        <x:v>-2.3408397247724895</x:v>
      </x:c>
      <x:c r="AC117" s="68" t="str">
        <x:v>4094115.8797725933</x:v>
      </x:c>
      <x:c r="AD117" s="68" t="str">
        <x:v>3695716.268170445</x:v>
      </x:c>
      <x:c r="AE117" s="68" t="str">
        <x:v>11517880.643812427</x:v>
      </x:c>
      <x:c r="AF117" s="68" t="str">
        <x:v>27161102.150388066</x:v>
      </x:c>
      <x:c r="AG117" s="68" t="str">
        <x:v>253268214.284092</x:v>
      </x:c>
      <x:c r="AH117" s="70" t="str">
        <x:v>143510.0</x:v>
      </x:c>
      <x:c r="AI117" s="70" t="str">
        <x:v>259090.0</x:v>
      </x:c>
      <x:c r="AJ117" s="70" t="str">
        <x:v>15140000.0</x:v>
      </x:c>
      <x:c r="AK117" s="68" t="str">
        <x:v>261126000000.0</x:v>
      </x:c>
      <x:c r="AL117" s="66" t="str">
        <x:v>0.18089619337783003</x:v>
      </x:c>
      <x:c r="AM117" s="70" t="str">
        <x:v>0.0</x:v>
      </x:c>
      <x:c r="AN117" s="70" t="str">
        <x:v>0.0</x:v>
      </x:c>
      <x:c r="AO117" s="66" t="str"/>
      <x:c r="AP117" s="14" t="str">
        <x:v>Unverified</x:v>
      </x:c>
      <x:c r="AQ117" s="47" t="str">
        <x:v>Proxy fallback; no issuer facilities in governed match file</x:v>
      </x:c>
      <x:c r="AR117" s="66" t="str"/>
      <x:c r="AS117" s="66" t="str">
        <x:v>7.43690764334572</x:v>
      </x:c>
      <x:c r="AT117" s="66" t="str">
        <x:v>0.0</x:v>
      </x:c>
      <x:c r="AU117" s="66" t="str">
        <x:v>9.627276973766637</x:v>
      </x:c>
      <x:c r="AV117" s="66" t="str">
        <x:v>2.5</x:v>
      </x:c>
      <x:c r="AW117" s="72" t="str">
        <x:v>0.75</x:v>
      </x:c>
      <x:c r="AX117" s="72" t="str">
        <x:v>0.5</x:v>
      </x:c>
      <x:c r="AY117" s="72" t="str">
        <x:v>0.5</x:v>
      </x:c>
      <x:c r="AZ117" s="72" t="str">
        <x:v>0.02</x:v>
      </x:c>
      <x:c r="BA117" s="72" t="str">
        <x:v>0.03</x:v>
      </x:c>
      <x:c r="BB117" s="72" t="str">
        <x:v>0.1</x:v>
      </x:c>
      <x:c r="BC117" s="72" t="str">
        <x:v>0.5</x:v>
      </x:c>
      <x:c r="BD117" s="72" t="str">
        <x:v>0.1</x:v>
      </x:c>
      <x:c r="BE117" s="72" t="str">
        <x:v>0.25</x:v>
      </x:c>
      <x:c r="BF117" s="14" t="str">
        <x:v>1.15</x:v>
      </x:c>
      <x:c r="BG117" s="72" t="str">
        <x:v>0.6</x:v>
      </x:c>
      <x:c r="BH117" s="74" t="str">
        <x:v>0.974074998898371</x:v>
      </x:c>
      <x:c r="BI117" s="47" t="str">
        <x:v>Common scenario elasticity + issuer SEC CapEx/CFO dependency scale</x:v>
      </x:c>
      <x:c r="BJ117" s="47" t="str">
        <x:v>Modeled estimate using observed inputs + disclosed assumptions</x:v>
      </x:c>
      <x:c r="BK117" s="14" t="str">
        <x:v>False</x:v>
      </x:c>
      <x:c r="BL117" s="14" t="str">
        <x:v>False</x:v>
      </x:c>
      <x:c r="BM117" s="14" t="str">
        <x:v>False</x:v>
      </x:c>
      <x:c r="BN117" s="47" t="str">
        <x:v>Conditional scenario sensitivity; not a forecast or probability</x:v>
      </x:c>
      <x:c r="BO117" s="66" t="str">
        <x:v>102.60499679541148</x:v>
      </x:c>
    </x:row>
    <x:row r="118">
      <x:c r="A118" s="14" t="str">
        <x:v>MSFT</x:v>
      </x:c>
      <x:c r="B118" s="14" t="str">
        <x:v>Technology</x:v>
      </x:c>
      <x:c r="C118" s="14" t="str">
        <x:v>fragmented_vs_baseline</x:v>
      </x:c>
      <x:c r="D118" s="47" t="str">
        <x:v>Fragmented World vs baseline</x:v>
      </x:c>
      <x:c r="E118" s="14" t="str">
        <x:v>Fragmented vs baseline</x:v>
      </x:c>
      <x:c r="F118" s="14" t="str">
        <x:v>fragmented_world</x:v>
      </x:c>
      <x:c r="G118" s="14" t="str">
        <x:v>baseline</x:v>
      </x:c>
      <x:c r="H118" s="14" t="str">
        <x:v>2050</x:v>
      </x:c>
      <x:c r="I118" s="14" t="str">
        <x:v>high</x:v>
      </x:c>
      <x:c r="J118" s="14" t="str">
        <x:v>True</x:v>
      </x:c>
      <x:c r="K118" s="14" t="str">
        <x:v>CFP-2026-003-R17-20260804T234500Z</x:v>
      </x:c>
      <x:c r="L118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8" s="66" t="str">
        <x:v>-4.524437794510816</x:v>
      </x:c>
      <x:c r="N118" s="68" t="str">
        <x:v>1056700433995.6056</x:v>
      </x:c>
      <x:c r="O118" s="68" t="str">
        <x:v>1008890680185.1486</x:v>
      </x:c>
      <x:c r="P118" s="68" t="str">
        <x:v>136222325961.35968</x:v>
      </x:c>
      <x:c r="Q118" s="68" t="str">
        <x:v>124661588742.84389</x:v>
      </x:c>
      <x:c r="R118" s="68" t="str">
        <x:v>-11560737218.515793</x:v>
      </x:c>
      <x:c r="S118" s="68" t="str">
        <x:v>73477040696.4498</x:v>
      </x:c>
      <x:c r="T118" s="66" t="str">
        <x:v>0.061431551907727575</x:v>
      </x:c>
      <x:c r="U118" s="66" t="str">
        <x:v>0.6326369504348215</x:v>
      </x:c>
      <x:c r="V118" s="66" t="str">
        <x:v>7.792599991186969</x:v>
      </x:c>
      <x:c r="W118" s="68" t="str">
        <x:v>83683488.88286653</x:v>
      </x:c>
      <x:c r="X118" s="68" t="str">
        <x:v>861792768.773328</x:v>
      </x:c>
      <x:c r="Y118" s="68" t="str">
        <x:v>10615260960.859598</x:v>
      </x:c>
      <x:c r="Z118" s="66" t="str">
        <x:v>-0.03200174054171114</x:v>
      </x:c>
      <x:c r="AA118" s="66" t="str">
        <x:v>-0.5910365126816115</x:v>
      </x:c>
      <x:c r="AB118" s="66" t="str">
        <x:v>-3.9013995412874958</x:v>
      </x:c>
      <x:c r="AC118" s="68" t="str">
        <x:v>12729560.554022621</x:v>
      </x:c>
      <x:c r="AD118" s="68" t="str">
        <x:v>17236264.949873116</x:v>
      </x:c>
      <x:c r="AE118" s="68" t="str">
        <x:v>53717663.378970794</x:v>
      </x:c>
      <x:c r="AF118" s="68" t="str">
        <x:v>51334483.06423344</x:v>
      </x:c>
      <x:c r="AG118" s="68" t="str">
        <x:v>810458285.7090945</x:v>
      </x:c>
      <x:c r="AH118" s="70" t="str">
        <x:v>143510.0</x:v>
      </x:c>
      <x:c r="AI118" s="70" t="str">
        <x:v>259090.0</x:v>
      </x:c>
      <x:c r="AJ118" s="70" t="str">
        <x:v>15140000.0</x:v>
      </x:c>
      <x:c r="AK118" s="68" t="str">
        <x:v>261126000000.0</x:v>
      </x:c>
      <x:c r="AL118" s="66" t="str">
        <x:v>0.18089619337783003</x:v>
      </x:c>
      <x:c r="AM118" s="70" t="str">
        <x:v>0.0</x:v>
      </x:c>
      <x:c r="AN118" s="70" t="str">
        <x:v>0.0</x:v>
      </x:c>
      <x:c r="AO118" s="66" t="str"/>
      <x:c r="AP118" s="14" t="str">
        <x:v>Unverified</x:v>
      </x:c>
      <x:c r="AQ118" s="47" t="str">
        <x:v>Proxy fallback; no issuer facilities in governed match file</x:v>
      </x:c>
      <x:c r="AR118" s="66" t="str"/>
      <x:c r="AS118" s="66" t="str">
        <x:v>7.43690764334572</x:v>
      </x:c>
      <x:c r="AT118" s="66" t="str">
        <x:v>0.0</x:v>
      </x:c>
      <x:c r="AU118" s="66" t="str">
        <x:v>9.627276973766637</x:v>
      </x:c>
      <x:c r="AV118" s="66" t="str">
        <x:v>2.5</x:v>
      </x:c>
      <x:c r="AW118" s="72" t="str">
        <x:v>1.0</x:v>
      </x:c>
      <x:c r="AX118" s="72" t="str">
        <x:v>0.3</x:v>
      </x:c>
      <x:c r="AY118" s="72" t="str">
        <x:v>0.75</x:v>
      </x:c>
      <x:c r="AZ118" s="72" t="str">
        <x:v>0.04</x:v>
      </x:c>
      <x:c r="BA118" s="72" t="str">
        <x:v>0.01</x:v>
      </x:c>
      <x:c r="BB118" s="72" t="str">
        <x:v>0.135</x:v>
      </x:c>
      <x:c r="BC118" s="72" t="str">
        <x:v>0.3</x:v>
      </x:c>
      <x:c r="BD118" s="72" t="str">
        <x:v>0.2</x:v>
      </x:c>
      <x:c r="BE118" s="72" t="str">
        <x:v>0.4</x:v>
      </x:c>
      <x:c r="BF118" s="14" t="str">
        <x:v>1.15</x:v>
      </x:c>
      <x:c r="BG118" s="72" t="str">
        <x:v>1.0</x:v>
      </x:c>
      <x:c r="BH118" s="74" t="str">
        <x:v>0.974074998898371</x:v>
      </x:c>
      <x:c r="BI118" s="47" t="str">
        <x:v>Common scenario elasticity + issuer SEC CapEx/CFO dependency scale</x:v>
      </x:c>
      <x:c r="BJ118" s="47" t="str">
        <x:v>Modeled estimate using observed inputs + disclosed assumptions</x:v>
      </x:c>
      <x:c r="BK118" s="14" t="str">
        <x:v>False</x:v>
      </x:c>
      <x:c r="BL118" s="14" t="str">
        <x:v>False</x:v>
      </x:c>
      <x:c r="BM118" s="14" t="str">
        <x:v>False</x:v>
      </x:c>
      <x:c r="BN118" s="47" t="str">
        <x:v>Conditional scenario sensitivity; not a forecast or probability</x:v>
      </x:c>
      <x:c r="BO118" s="66" t="str">
        <x:v>104.73884383605201</x:v>
      </x:c>
    </x:row>
    <x:row r="119">
      <x:c r="A119" s="14" t="str">
        <x:v>NEE</x:v>
      </x:c>
      <x:c r="B119" s="14" t="str">
        <x:v>Utilities</x:v>
      </x:c>
      <x:c r="C119" s="14" t="str">
        <x:v>fragmented_vs_baseline</x:v>
      </x:c>
      <x:c r="D119" s="47" t="str">
        <x:v>Fragmented World vs baseline</x:v>
      </x:c>
      <x:c r="E119" s="14" t="str">
        <x:v>Fragmented vs baseline</x:v>
      </x:c>
      <x:c r="F119" s="14" t="str">
        <x:v>fragmented_world</x:v>
      </x:c>
      <x:c r="G119" s="14" t="str">
        <x:v>baseline</x:v>
      </x:c>
      <x:c r="H119" s="14" t="str">
        <x:v>2050</x:v>
      </x:c>
      <x:c r="I119" s="14" t="str">
        <x:v>low</x:v>
      </x:c>
      <x:c r="J119" s="14" t="str">
        <x:v>True</x:v>
      </x:c>
      <x:c r="K119" s="14" t="str">
        <x:v>CFP-2026-003-R17-20260804T234500Z</x:v>
      </x:c>
      <x:c r="L119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19" s="66" t="str">
        <x:v>-5.041262193871865</x:v>
      </x:c>
      <x:c r="N119" s="68" t="str">
        <x:v>207787213356.48944</x:v>
      </x:c>
      <x:c r="O119" s="68" t="str">
        <x:v>197312115125.84888</x:v>
      </x:c>
      <x:c r="P119" s="68" t="str">
        <x:v>16208268485.95464</x:v>
      </x:c>
      <x:c r="Q119" s="68" t="str">
        <x:v>14944704768.750565</x:v>
      </x:c>
      <x:c r="R119" s="68" t="str">
        <x:v>-1263563717.2040749</x:v>
      </x:c>
      <x:c r="S119" s="68" t="str">
        <x:v>9879440000.0</x:v>
      </x:c>
      <x:c r="T119" s="66" t="str">
        <x:v>1.8157428974278669</x:v>
      </x:c>
      <x:c r="U119" s="66" t="str">
        <x:v>0.38005415701395956</x:v>
      </x:c>
      <x:c r="V119" s="66" t="str">
        <x:v>5.6</x:v>
      </x:c>
      <x:c r="W119" s="68" t="str">
        <x:v>294300483.8297606</x:v>
      </x:c>
      <x:c r="X119" s="68" t="str">
        <x:v>61600198.160854176</x:v>
      </x:c>
      <x:c r="Y119" s="68" t="str">
        <x:v>907663035.2134597</x:v>
      </x:c>
      <x:c r="Z119" s="66" t="str">
        <x:v>-1.3798839242365117</x:v>
      </x:c>
      <x:c r="AA119" s="66" t="str">
        <x:v>-0.2713313463263441</x:v>
      </x:c>
      <x:c r="AB119" s="66" t="str">
        <x:v>-3.390046923309005</x:v>
      </x:c>
      <x:c r="AC119" s="68" t="str">
        <x:v>294254885.65811294</x:v>
      </x:c>
      <x:c r="AD119" s="68" t="str">
        <x:v>43387.59704862723</x:v>
      </x:c>
      <x:c r="AE119" s="68" t="str">
        <x:v>2210.574599010086</x:v>
      </x:c>
      <x:c r="AF119" s="68" t="str">
        <x:v>52559743.4767095</x:v>
      </x:c>
      <x:c r="AG119" s="68" t="str">
        <x:v>9040454.684144672</x:v>
      </x:c>
      <x:c r="AH119" s="70" t="str">
        <x:v>43409916.37</x:v>
      </x:c>
      <x:c r="AI119" s="70" t="str">
        <x:v>25603.0</x:v>
      </x:c>
      <x:c r="AJ119" s="70" t="str">
        <x:v>65222.95</x:v>
      </x:c>
      <x:c r="AK119" s="68" t="str">
        <x:v>156197000000.0</x:v>
      </x:c>
      <x:c r="AL119" s="66" t="str">
        <x:v>0.25009029941509914</x:v>
      </x:c>
      <x:c r="AM119" s="70" t="str">
        <x:v>23.0</x:v>
      </x:c>
      <x:c r="AN119" s="70" t="str">
        <x:v>27.0</x:v>
      </x:c>
      <x:c r="AO119" s="66" t="str">
        <x:v>85.18518518518519</x:v>
      </x:c>
      <x:c r="AP119" s="14" t="str">
        <x:v>High</x:v>
      </x:c>
      <x:c r="AQ119" s="47" t="str">
        <x:v>Issuer facility-to-FEMA county match</x:v>
      </x:c>
      <x:c r="AR119" s="66" t="str">
        <x:v>0.25009029941509914</x:v>
      </x:c>
      <x:c r="AS119" s="66" t="str">
        <x:v>7.43690764334572</x:v>
      </x:c>
      <x:c r="AT119" s="66" t="str">
        <x:v>0.0</x:v>
      </x:c>
      <x:c r="AU119" s="66" t="str">
        <x:v>6.849686675720218</x:v>
      </x:c>
      <x:c r="AV119" s="66" t="str">
        <x:v>2.0</x:v>
      </x:c>
      <x:c r="AW119" s="72" t="str">
        <x:v>0.5</x:v>
      </x:c>
      <x:c r="AX119" s="72" t="str">
        <x:v>0.7</x:v>
      </x:c>
      <x:c r="AY119" s="72" t="str">
        <x:v>0.25</x:v>
      </x:c>
      <x:c r="AZ119" s="72" t="str">
        <x:v>0.0025</x:v>
      </x:c>
      <x:c r="BA119" s="72" t="str">
        <x:v>0.05</x:v>
      </x:c>
      <x:c r="BB119" s="72" t="str">
        <x:v>0.39</x:v>
      </x:c>
      <x:c r="BC119" s="72" t="str">
        <x:v>0.7</x:v>
      </x:c>
      <x:c r="BD119" s="72" t="str">
        <x:v>0.05</x:v>
      </x:c>
      <x:c r="BE119" s="72" t="str">
        <x:v>0.15</x:v>
      </x:c>
      <x:c r="BF119" s="14" t="str">
        <x:v>1.15</x:v>
      </x:c>
      <x:c r="BG119" s="72" t="str">
        <x:v>0.35</x:v>
      </x:c>
      <x:c r="BH119" s="74" t="str">
        <x:v>2.0</x:v>
      </x:c>
      <x:c r="BI119" s="47" t="str">
        <x:v>Common scenario elasticity + issuer SEC CapEx/CFO dependency scale</x:v>
      </x:c>
      <x:c r="BJ119" s="47" t="str">
        <x:v>Modeled estimate using observed inputs + disclosed assumptions</x:v>
      </x:c>
      <x:c r="BK119" s="14" t="str">
        <x:v>False</x:v>
      </x:c>
      <x:c r="BL119" s="14" t="str">
        <x:v>False</x:v>
      </x:c>
      <x:c r="BM119" s="14" t="str">
        <x:v>False</x:v>
      </x:c>
      <x:c r="BN119" s="47" t="str">
        <x:v>Conditional scenario sensitivity; not a forecast or probability</x:v>
      </x:c>
      <x:c r="BO119" s="66" t="str">
        <x:v>105.30889764369479</x:v>
      </x:c>
    </x:row>
    <x:row r="120">
      <x:c r="A120" s="14" t="str">
        <x:v>NEE</x:v>
      </x:c>
      <x:c r="B120" s="14" t="str">
        <x:v>Utilities</x:v>
      </x:c>
      <x:c r="C120" s="14" t="str">
        <x:v>fragmented_vs_baseline</x:v>
      </x:c>
      <x:c r="D120" s="47" t="str">
        <x:v>Fragmented World vs baseline</x:v>
      </x:c>
      <x:c r="E120" s="14" t="str">
        <x:v>Fragmented vs baseline</x:v>
      </x:c>
      <x:c r="F120" s="14" t="str">
        <x:v>fragmented_world</x:v>
      </x:c>
      <x:c r="G120" s="14" t="str">
        <x:v>baseline</x:v>
      </x:c>
      <x:c r="H120" s="14" t="str">
        <x:v>2050</x:v>
      </x:c>
      <x:c r="I120" s="14" t="str">
        <x:v>base</x:v>
      </x:c>
      <x:c r="J120" s="14" t="str">
        <x:v>True</x:v>
      </x:c>
      <x:c r="K120" s="14" t="str">
        <x:v>CFP-2026-003-R17-20260804T234500Z</x:v>
      </x:c>
      <x:c r="L120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20" s="66" t="str">
        <x:v>-11.787203558983684</x:v>
      </x:c>
      <x:c r="N120" s="68" t="str">
        <x:v>207787213356.48944</x:v>
      </x:c>
      <x:c r="O120" s="68" t="str">
        <x:v>183294911548.6203</x:v>
      </x:c>
      <x:c r="P120" s="68" t="str">
        <x:v>16208268485.95464</x:v>
      </x:c>
      <x:c r="Q120" s="68" t="str">
        <x:v>13237345933.595516</x:v>
      </x:c>
      <x:c r="R120" s="68" t="str">
        <x:v>-2970922552.359123</x:v>
      </x:c>
      <x:c r="S120" s="68" t="str">
        <x:v>9879440000.0</x:v>
      </x:c>
      <x:c r="T120" s="66" t="str">
        <x:v>7.642979522448735</x:v>
      </x:c>
      <x:c r="U120" s="66" t="str">
        <x:v>1.0866931068860501</x:v>
      </x:c>
      <x:c r="V120" s="66" t="str">
        <x:v>9.6</x:v>
      </x:c>
      <x:c r="W120" s="68" t="str">
        <x:v>1238794641.3250248</x:v>
      </x:c>
      <x:c r="X120" s="68" t="str">
        <x:v>176134136.38245305</x:v>
      </x:c>
      <x:c r="Y120" s="68" t="str">
        <x:v>1555993774.6516454</x:v>
      </x:c>
      <x:c r="Z120" s="66" t="str">
        <x:v>-5.192092085301625</x:v>
      </x:c>
      <x:c r="AA120" s="66" t="str">
        <x:v>-0.783602462295189</x:v>
      </x:c>
      <x:c r="AB120" s="66" t="str">
        <x:v>-5.8115090113868675</x:v>
      </x:c>
      <x:c r="AC120" s="68" t="str">
        <x:v>1238417029.8238258</x:v>
      </x:c>
      <x:c r="AD120" s="68" t="str">
        <x:v>365206.7760776869</x:v>
      </x:c>
      <x:c r="AE120" s="68" t="str">
        <x:v>12404.725121158284</x:v>
      </x:c>
      <x:c r="AF120" s="68" t="str">
        <x:v>145999287.43530414</x:v>
      </x:c>
      <x:c r="AG120" s="68" t="str">
        <x:v>30134848.947148908</x:v>
      </x:c>
      <x:c r="AH120" s="70" t="str">
        <x:v>43409916.37</x:v>
      </x:c>
      <x:c r="AI120" s="70" t="str">
        <x:v>25603.0</x:v>
      </x:c>
      <x:c r="AJ120" s="70" t="str">
        <x:v>65222.95</x:v>
      </x:c>
      <x:c r="AK120" s="68" t="str">
        <x:v>156197000000.0</x:v>
      </x:c>
      <x:c r="AL120" s="66" t="str">
        <x:v>0.25009029941509914</x:v>
      </x:c>
      <x:c r="AM120" s="70" t="str">
        <x:v>23.0</x:v>
      </x:c>
      <x:c r="AN120" s="70" t="str">
        <x:v>27.0</x:v>
      </x:c>
      <x:c r="AO120" s="66" t="str">
        <x:v>85.18518518518519</x:v>
      </x:c>
      <x:c r="AP120" s="14" t="str">
        <x:v>High</x:v>
      </x:c>
      <x:c r="AQ120" s="47" t="str">
        <x:v>Issuer facility-to-FEMA county match</x:v>
      </x:c>
      <x:c r="AR120" s="66" t="str">
        <x:v>0.25009029941509914</x:v>
      </x:c>
      <x:c r="AS120" s="66" t="str">
        <x:v>7.43690764334572</x:v>
      </x:c>
      <x:c r="AT120" s="66" t="str">
        <x:v>0.0</x:v>
      </x:c>
      <x:c r="AU120" s="66" t="str">
        <x:v>6.849686675720218</x:v>
      </x:c>
      <x:c r="AV120" s="66" t="str">
        <x:v>2.0</x:v>
      </x:c>
      <x:c r="AW120" s="72" t="str">
        <x:v>0.75</x:v>
      </x:c>
      <x:c r="AX120" s="72" t="str">
        <x:v>0.5</x:v>
      </x:c>
      <x:c r="AY120" s="72" t="str">
        <x:v>0.5</x:v>
      </x:c>
      <x:c r="AZ120" s="72" t="str">
        <x:v>0.005</x:v>
      </x:c>
      <x:c r="BA120" s="72" t="str">
        <x:v>0.03</x:v>
      </x:c>
      <x:c r="BB120" s="72" t="str">
        <x:v>0.65</x:v>
      </x:c>
      <x:c r="BC120" s="72" t="str">
        <x:v>0.5</x:v>
      </x:c>
      <x:c r="BD120" s="72" t="str">
        <x:v>0.1</x:v>
      </x:c>
      <x:c r="BE120" s="72" t="str">
        <x:v>0.25</x:v>
      </x:c>
      <x:c r="BF120" s="14" t="str">
        <x:v>1.15</x:v>
      </x:c>
      <x:c r="BG120" s="72" t="str">
        <x:v>0.6</x:v>
      </x:c>
      <x:c r="BH120" s="74" t="str">
        <x:v>2.0</x:v>
      </x:c>
      <x:c r="BI120" s="47" t="str">
        <x:v>Common scenario elasticity + issuer SEC CapEx/CFO dependency scale</x:v>
      </x:c>
      <x:c r="BJ120" s="47" t="str">
        <x:v>Modeled estimate using observed inputs + disclosed assumptions</x:v>
      </x:c>
      <x:c r="BK120" s="14" t="str">
        <x:v>False</x:v>
      </x:c>
      <x:c r="BL120" s="14" t="str">
        <x:v>False</x:v>
      </x:c>
      <x:c r="BM120" s="14" t="str">
        <x:v>False</x:v>
      </x:c>
      <x:c r="BN120" s="47" t="str">
        <x:v>Conditional scenario sensitivity; not a forecast or probability</x:v>
      </x:c>
      <x:c r="BO120" s="66" t="str">
        <x:v>113.36223771895185</x:v>
      </x:c>
    </x:row>
    <x:row r="121">
      <x:c r="A121" s="14" t="str">
        <x:v>NEE</x:v>
      </x:c>
      <x:c r="B121" s="14" t="str">
        <x:v>Utilities</x:v>
      </x:c>
      <x:c r="C121" s="14" t="str">
        <x:v>fragmented_vs_baseline</x:v>
      </x:c>
      <x:c r="D121" s="47" t="str">
        <x:v>Fragmented World vs baseline</x:v>
      </x:c>
      <x:c r="E121" s="14" t="str">
        <x:v>Fragmented vs baseline</x:v>
      </x:c>
      <x:c r="F121" s="14" t="str">
        <x:v>fragmented_world</x:v>
      </x:c>
      <x:c r="G121" s="14" t="str">
        <x:v>baseline</x:v>
      </x:c>
      <x:c r="H121" s="14" t="str">
        <x:v>2050</x:v>
      </x:c>
      <x:c r="I121" s="14" t="str">
        <x:v>high</x:v>
      </x:c>
      <x:c r="J121" s="14" t="str">
        <x:v>True</x:v>
      </x:c>
      <x:c r="K121" s="14" t="str">
        <x:v>CFP-2026-003-R17-20260804T234500Z</x:v>
      </x:c>
      <x:c r="L121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21" s="66" t="str">
        <x:v>-26.088922882016007</x:v>
      </x:c>
      <x:c r="N121" s="68" t="str">
        <x:v>207787213356.48944</x:v>
      </x:c>
      <x:c r="O121" s="68" t="str">
        <x:v>153577767505.22485</x:v>
      </x:c>
      <x:c r="P121" s="68" t="str">
        <x:v>16208268485.95464</x:v>
      </x:c>
      <x:c r="Q121" s="68" t="str">
        <x:v>9390287030.842604</x:v>
      </x:c>
      <x:c r="R121" s="68" t="str">
        <x:v>-6817981455.112036</x:v>
      </x:c>
      <x:c r="S121" s="68" t="str">
        <x:v>9879440000.0</x:v>
      </x:c>
      <x:c r="T121" s="66" t="str">
        <x:v>23.767426673699983</x:v>
      </x:c>
      <x:c r="U121" s="66" t="str">
        <x:v>2.297408697334207</x:v>
      </x:c>
      <x:c r="V121" s="66" t="str">
        <x:v>16.0</x:v>
      </x:c>
      <x:c r="W121" s="68" t="str">
        <x:v>3852288327.475692</x:v>
      </x:c>
      <x:c r="X121" s="68" t="str">
        <x:v>372370169.8836013</x:v>
      </x:c>
      <x:c r="Y121" s="68" t="str">
        <x:v>2593322957.7527423</x:v>
      </x:c>
      <x:c r="Z121" s="66" t="str">
        <x:v>-14.68701825045175</x:v>
      </x:c>
      <x:c r="AA121" s="66" t="str">
        <x:v>-1.7160562792528158</x:v>
      </x:c>
      <x:c r="AB121" s="66" t="str">
        <x:v>-9.685848352311439</x:v>
      </x:c>
      <x:c r="AC121" s="68" t="str">
        <x:v>3850527204.2155437</x:v>
      </x:c>
      <x:c r="AD121" s="68" t="str">
        <x:v>1703269.4874815752</x:v>
      </x:c>
      <x:c r="AE121" s="68" t="str">
        <x:v>57853.77266650336</x:v>
      </x:c>
      <x:c r="AF121" s="68" t="str">
        <x:v>275938653.25272477</x:v>
      </x:c>
      <x:c r="AG121" s="68" t="str">
        <x:v>96431516.63087653</x:v>
      </x:c>
      <x:c r="AH121" s="70" t="str">
        <x:v>43409916.37</x:v>
      </x:c>
      <x:c r="AI121" s="70" t="str">
        <x:v>25603.0</x:v>
      </x:c>
      <x:c r="AJ121" s="70" t="str">
        <x:v>65222.95</x:v>
      </x:c>
      <x:c r="AK121" s="68" t="str">
        <x:v>156197000000.0</x:v>
      </x:c>
      <x:c r="AL121" s="66" t="str">
        <x:v>0.25009029941509914</x:v>
      </x:c>
      <x:c r="AM121" s="70" t="str">
        <x:v>23.0</x:v>
      </x:c>
      <x:c r="AN121" s="70" t="str">
        <x:v>27.0</x:v>
      </x:c>
      <x:c r="AO121" s="66" t="str">
        <x:v>85.18518518518519</x:v>
      </x:c>
      <x:c r="AP121" s="14" t="str">
        <x:v>High</x:v>
      </x:c>
      <x:c r="AQ121" s="47" t="str">
        <x:v>Issuer facility-to-FEMA county match</x:v>
      </x:c>
      <x:c r="AR121" s="66" t="str">
        <x:v>0.25009029941509914</x:v>
      </x:c>
      <x:c r="AS121" s="66" t="str">
        <x:v>7.43690764334572</x:v>
      </x:c>
      <x:c r="AT121" s="66" t="str">
        <x:v>0.0</x:v>
      </x:c>
      <x:c r="AU121" s="66" t="str">
        <x:v>6.849686675720218</x:v>
      </x:c>
      <x:c r="AV121" s="66" t="str">
        <x:v>2.0</x:v>
      </x:c>
      <x:c r="AW121" s="72" t="str">
        <x:v>1.0</x:v>
      </x:c>
      <x:c r="AX121" s="72" t="str">
        <x:v>0.3</x:v>
      </x:c>
      <x:c r="AY121" s="72" t="str">
        <x:v>0.75</x:v>
      </x:c>
      <x:c r="AZ121" s="72" t="str">
        <x:v>0.01</x:v>
      </x:c>
      <x:c r="BA121" s="72" t="str">
        <x:v>0.01</x:v>
      </x:c>
      <x:c r="BB121" s="72" t="str">
        <x:v>0.8775000000000001</x:v>
      </x:c>
      <x:c r="BC121" s="72" t="str">
        <x:v>0.3</x:v>
      </x:c>
      <x:c r="BD121" s="72" t="str">
        <x:v>0.2</x:v>
      </x:c>
      <x:c r="BE121" s="72" t="str">
        <x:v>0.4</x:v>
      </x:c>
      <x:c r="BF121" s="14" t="str">
        <x:v>1.15</x:v>
      </x:c>
      <x:c r="BG121" s="72" t="str">
        <x:v>1.0</x:v>
      </x:c>
      <x:c r="BH121" s="74" t="str">
        <x:v>2.0</x:v>
      </x:c>
      <x:c r="BI121" s="47" t="str">
        <x:v>Common scenario elasticity + issuer SEC CapEx/CFO dependency scale</x:v>
      </x:c>
      <x:c r="BJ121" s="47" t="str">
        <x:v>Modeled estimate using observed inputs + disclosed assumptions</x:v>
      </x:c>
      <x:c r="BK121" s="14" t="str">
        <x:v>False</x:v>
      </x:c>
      <x:c r="BL121" s="14" t="str">
        <x:v>False</x:v>
      </x:c>
      <x:c r="BM121" s="14" t="str">
        <x:v>False</x:v>
      </x:c>
      <x:c r="BN121" s="47" t="str">
        <x:v>Conditional scenario sensitivity; not a forecast or probability</x:v>
      </x:c>
      <x:c r="BO121" s="66" t="str">
        <x:v>135.2977170666453</x:v>
      </x:c>
    </x:row>
    <x:row r="122">
      <x:c r="A122" s="14" t="str">
        <x:v>XOM</x:v>
      </x:c>
      <x:c r="B122" s="14" t="str">
        <x:v>Energy</x:v>
      </x:c>
      <x:c r="C122" s="14" t="str">
        <x:v>fragmented_vs_baseline</x:v>
      </x:c>
      <x:c r="D122" s="47" t="str">
        <x:v>Fragmented World vs baseline</x:v>
      </x:c>
      <x:c r="E122" s="14" t="str">
        <x:v>Fragmented vs baseline</x:v>
      </x:c>
      <x:c r="F122" s="14" t="str">
        <x:v>fragmented_world</x:v>
      </x:c>
      <x:c r="G122" s="14" t="str">
        <x:v>baseline</x:v>
      </x:c>
      <x:c r="H122" s="14" t="str">
        <x:v>2050</x:v>
      </x:c>
      <x:c r="I122" s="14" t="str">
        <x:v>low</x:v>
      </x:c>
      <x:c r="J122" s="14" t="str">
        <x:v>True</x:v>
      </x:c>
      <x:c r="K122" s="14" t="str">
        <x:v>CFP-2026-003-R17-20260804T234500Z</x:v>
      </x:c>
      <x:c r="L122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22" s="66" t="str">
        <x:v>-3.7131230207111177</x:v>
      </x:c>
      <x:c r="N122" s="68" t="str">
        <x:v>676608329467.1913</x:v>
      </x:c>
      <x:c r="O122" s="68" t="str">
        <x:v>651485029825.696</x:v>
      </x:c>
      <x:c r="P122" s="68" t="str">
        <x:v>37562427566.9594</x:v>
      </x:c>
      <x:c r="Q122" s="68" t="str">
        <x:v>35660159011.629</x:v>
      </x:c>
      <x:c r="R122" s="68" t="str">
        <x:v>-1902268555.3303986</x:v>
      </x:c>
      <x:c r="S122" s="68" t="str">
        <x:v>24046905786.56586</x:v>
      </x:c>
      <x:c r="T122" s="66" t="str">
        <x:v>1.9424720138634337</x:v>
      </x:c>
      <x:c r="U122" s="66" t="str">
        <x:v>0.19396275675089353</x:v>
      </x:c>
      <x:c r="V122" s="66" t="str">
        <x:v>2.9278506830863957</x:v>
      </x:c>
      <x:c r="W122" s="68" t="str">
        <x:v>729639643.2159097</x:v>
      </x:c>
      <x:c r="X122" s="68" t="str">
        <x:v>72857120.01143202</x:v>
      </x:c>
      <x:c r="Y122" s="68" t="str">
        <x:v>1099771792.1030533</x:v>
      </x:c>
      <x:c r="Z122" s="66" t="str">
        <x:v>-1.5711893856599557</x:v>
      </x:c>
      <x:c r="AA122" s="66" t="str">
        <x:v>-0.15478773976860352</x:v>
      </x:c>
      <x:c r="AB122" s="66" t="str">
        <x:v>-1.9871458952825636</x:v>
      </x:c>
      <x:c r="AC122" s="68" t="str">
        <x:v>704965838.8559514</x:v>
      </x:c>
      <x:c r="AD122" s="68" t="str">
        <x:v>11862405.942287646</x:v>
      </x:c>
      <x:c r="AE122" s="68" t="str">
        <x:v>12811398.417670654</x:v>
      </x:c>
      <x:c r="AF122" s="68" t="str">
        <x:v>51905997.1607815</x:v>
      </x:c>
      <x:c r="AG122" s="68" t="str">
        <x:v>20951122.850650527</x:v>
      </x:c>
      <x:c r="AH122" s="70" t="str">
        <x:v>104000000.0</x:v>
      </x:c>
      <x:c r="AI122" s="70" t="str">
        <x:v>7000000.0</x:v>
      </x:c>
      <x:c r="AJ122" s="70" t="str">
        <x:v>630000000.0</x:v>
      </x:c>
      <x:c r="AK122" s="68" t="str">
        <x:v>299373000000.0</x:v>
      </x:c>
      <x:c r="AL122" s="66" t="str">
        <x:v>0.18613243120519987</x:v>
      </x:c>
      <x:c r="AM122" s="70" t="str">
        <x:v>49.0</x:v>
      </x:c>
      <x:c r="AN122" s="70" t="str">
        <x:v>68.0</x:v>
      </x:c>
      <x:c r="AO122" s="66" t="str">
        <x:v>72.05882352941177</x:v>
      </x:c>
      <x:c r="AP122" s="14" t="str">
        <x:v>Medium</x:v>
      </x:c>
      <x:c r="AQ122" s="47" t="str">
        <x:v>Issuer facility-to-FEMA county match</x:v>
      </x:c>
      <x:c r="AR122" s="66" t="str">
        <x:v>0.18613243120519987</x:v>
      </x:c>
      <x:c r="AS122" s="66" t="str">
        <x:v>7.43690764334572</x:v>
      </x:c>
      <x:c r="AT122" s="66" t="str">
        <x:v>0.0</x:v>
      </x:c>
      <x:c r="AU122" s="66" t="str">
        <x:v>5.418008975739499</x:v>
      </x:c>
      <x:c r="AV122" s="66" t="str">
        <x:v>1.7999999999999998</x:v>
      </x:c>
      <x:c r="AW122" s="72" t="str">
        <x:v>0.5</x:v>
      </x:c>
      <x:c r="AX122" s="72" t="str">
        <x:v>0.7</x:v>
      </x:c>
      <x:c r="AY122" s="72" t="str">
        <x:v>0.25</x:v>
      </x:c>
      <x:c r="AZ122" s="72" t="str">
        <x:v>0.0015</x:v>
      </x:c>
      <x:c r="BA122" s="72" t="str">
        <x:v>0.05</x:v>
      </x:c>
      <x:c r="BB122" s="72" t="str">
        <x:v>0.27</x:v>
      </x:c>
      <x:c r="BC122" s="72" t="str">
        <x:v>0.7</x:v>
      </x:c>
      <x:c r="BD122" s="72" t="str">
        <x:v>0.05</x:v>
      </x:c>
      <x:c r="BE122" s="72" t="str">
        <x:v>0.15</x:v>
      </x:c>
      <x:c r="BF122" s="14" t="str">
        <x:v>1.15</x:v>
      </x:c>
      <x:c r="BG122" s="72" t="str">
        <x:v>0.35</x:v>
      </x:c>
      <x:c r="BH122" s="74" t="str">
        <x:v>1.0456609582451413</x:v>
      </x:c>
      <x:c r="BI122" s="47" t="str">
        <x:v>Common scenario elasticity + issuer SEC CapEx/CFO dependency scale</x:v>
      </x:c>
      <x:c r="BJ122" s="47" t="str">
        <x:v>Modeled estimate using observed inputs + disclosed assumptions</x:v>
      </x:c>
      <x:c r="BK122" s="14" t="str">
        <x:v>False</x:v>
      </x:c>
      <x:c r="BL122" s="14" t="str">
        <x:v>False</x:v>
      </x:c>
      <x:c r="BM122" s="14" t="str">
        <x:v>False</x:v>
      </x:c>
      <x:c r="BN122" s="47" t="str">
        <x:v>Conditional scenario sensitivity; not a forecast or probability</x:v>
      </x:c>
      <x:c r="BO122" s="66" t="str">
        <x:v>103.85631265360264</x:v>
      </x:c>
    </x:row>
    <x:row r="123">
      <x:c r="A123" s="14" t="str">
        <x:v>XOM</x:v>
      </x:c>
      <x:c r="B123" s="14" t="str">
        <x:v>Energy</x:v>
      </x:c>
      <x:c r="C123" s="14" t="str">
        <x:v>fragmented_vs_baseline</x:v>
      </x:c>
      <x:c r="D123" s="47" t="str">
        <x:v>Fragmented World vs baseline</x:v>
      </x:c>
      <x:c r="E123" s="14" t="str">
        <x:v>Fragmented vs baseline</x:v>
      </x:c>
      <x:c r="F123" s="14" t="str">
        <x:v>fragmented_world</x:v>
      </x:c>
      <x:c r="G123" s="14" t="str">
        <x:v>baseline</x:v>
      </x:c>
      <x:c r="H123" s="14" t="str">
        <x:v>2050</x:v>
      </x:c>
      <x:c r="I123" s="14" t="str">
        <x:v>base</x:v>
      </x:c>
      <x:c r="J123" s="14" t="str">
        <x:v>True</x:v>
      </x:c>
      <x:c r="K123" s="14" t="str">
        <x:v>CFP-2026-003-R17-20260804T234500Z</x:v>
      </x:c>
      <x:c r="L123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23" s="66" t="str">
        <x:v>-10.056203938444908</x:v>
      </x:c>
      <x:c r="N123" s="68" t="str">
        <x:v>676608329467.1913</x:v>
      </x:c>
      <x:c r="O123" s="68" t="str">
        <x:v>608567215991.4653</x:v>
      </x:c>
      <x:c r="P123" s="68" t="str">
        <x:v>37562427566.9594</x:v>
      </x:c>
      <x:c r="Q123" s="68" t="str">
        <x:v>32324385541.898518</x:v>
      </x:c>
      <x:c r="R123" s="68" t="str">
        <x:v>-5238042025.060879</x:v>
      </x:c>
      <x:c r="S123" s="68" t="str">
        <x:v>24046905786.56586</x:v>
      </x:c>
      <x:c r="T123" s="66" t="str">
        <x:v>8.355952356044272</x:v>
      </x:c>
      <x:c r="U123" s="66" t="str">
        <x:v>0.5697725505997557</x:v>
      </x:c>
      <x:c r="V123" s="66" t="str">
        <x:v>5.019172599576678</x:v>
      </x:c>
      <x:c r="W123" s="68" t="str">
        <x:v>3138698551.268767</x:v>
      </x:c>
      <x:c r="X123" s="68" t="str">
        <x:v>214020401.61545032</x:v>
      </x:c>
      <x:c r="Y123" s="68" t="str">
        <x:v>1885323072.1766627</x:v>
      </x:c>
      <x:c r="Z123" s="66" t="str">
        <x:v>-6.189591968087767</x:v>
      </x:c>
      <x:c r="AA123" s="66" t="str">
        <x:v>-0.4600761498727236</x:v>
      </x:c>
      <x:c r="AB123" s="66" t="str">
        <x:v>-3.4065358204844105</x:v>
      </x:c>
      <x:c r="AC123" s="68" t="str">
        <x:v>2966957365.3149586</x:v>
      </x:c>
      <x:c r="AD123" s="68" t="str">
        <x:v>99849526.71733034</x:v>
      </x:c>
      <x:c r="AE123" s="68" t="str">
        <x:v>71891659.23647784</x:v>
      </x:c>
      <x:c r="AF123" s="68" t="str">
        <x:v>144183325.44661525</x:v>
      </x:c>
      <x:c r="AG123" s="68" t="str">
        <x:v>69837076.16883509</x:v>
      </x:c>
      <x:c r="AH123" s="70" t="str">
        <x:v>104000000.0</x:v>
      </x:c>
      <x:c r="AI123" s="70" t="str">
        <x:v>7000000.0</x:v>
      </x:c>
      <x:c r="AJ123" s="70" t="str">
        <x:v>630000000.0</x:v>
      </x:c>
      <x:c r="AK123" s="68" t="str">
        <x:v>299373000000.0</x:v>
      </x:c>
      <x:c r="AL123" s="66" t="str">
        <x:v>0.18613243120519987</x:v>
      </x:c>
      <x:c r="AM123" s="70" t="str">
        <x:v>49.0</x:v>
      </x:c>
      <x:c r="AN123" s="70" t="str">
        <x:v>68.0</x:v>
      </x:c>
      <x:c r="AO123" s="66" t="str">
        <x:v>72.05882352941177</x:v>
      </x:c>
      <x:c r="AP123" s="14" t="str">
        <x:v>Medium</x:v>
      </x:c>
      <x:c r="AQ123" s="47" t="str">
        <x:v>Issuer facility-to-FEMA county match</x:v>
      </x:c>
      <x:c r="AR123" s="66" t="str">
        <x:v>0.18613243120519987</x:v>
      </x:c>
      <x:c r="AS123" s="66" t="str">
        <x:v>7.43690764334572</x:v>
      </x:c>
      <x:c r="AT123" s="66" t="str">
        <x:v>0.0</x:v>
      </x:c>
      <x:c r="AU123" s="66" t="str">
        <x:v>5.418008975739499</x:v>
      </x:c>
      <x:c r="AV123" s="66" t="str">
        <x:v>1.7999999999999998</x:v>
      </x:c>
      <x:c r="AW123" s="72" t="str">
        <x:v>0.75</x:v>
      </x:c>
      <x:c r="AX123" s="72" t="str">
        <x:v>0.5</x:v>
      </x:c>
      <x:c r="AY123" s="72" t="str">
        <x:v>0.5</x:v>
      </x:c>
      <x:c r="AZ123" s="72" t="str">
        <x:v>0.003</x:v>
      </x:c>
      <x:c r="BA123" s="72" t="str">
        <x:v>0.03</x:v>
      </x:c>
      <x:c r="BB123" s="72" t="str">
        <x:v>0.45</x:v>
      </x:c>
      <x:c r="BC123" s="72" t="str">
        <x:v>0.5</x:v>
      </x:c>
      <x:c r="BD123" s="72" t="str">
        <x:v>0.1</x:v>
      </x:c>
      <x:c r="BE123" s="72" t="str">
        <x:v>0.25</x:v>
      </x:c>
      <x:c r="BF123" s="14" t="str">
        <x:v>1.15</x:v>
      </x:c>
      <x:c r="BG123" s="72" t="str">
        <x:v>0.6</x:v>
      </x:c>
      <x:c r="BH123" s="74" t="str">
        <x:v>1.0456609582451413</x:v>
      </x:c>
      <x:c r="BI123" s="47" t="str">
        <x:v>Common scenario elasticity + issuer SEC CapEx/CFO dependency scale</x:v>
      </x:c>
      <x:c r="BJ123" s="47" t="str">
        <x:v>Modeled estimate using observed inputs + disclosed assumptions</x:v>
      </x:c>
      <x:c r="BK123" s="14" t="str">
        <x:v>False</x:v>
      </x:c>
      <x:c r="BL123" s="14" t="str">
        <x:v>False</x:v>
      </x:c>
      <x:c r="BM123" s="14" t="str">
        <x:v>False</x:v>
      </x:c>
      <x:c r="BN123" s="47" t="str">
        <x:v>Conditional scenario sensitivity; not a forecast or probability</x:v>
      </x:c>
      <x:c r="BO123" s="66" t="str">
        <x:v>111.18054204823945</x:v>
      </x:c>
    </x:row>
    <x:row r="124">
      <x:c r="A124" s="14" t="str">
        <x:v>XOM</x:v>
      </x:c>
      <x:c r="B124" s="14" t="str">
        <x:v>Energy</x:v>
      </x:c>
      <x:c r="C124" s="14" t="str">
        <x:v>fragmented_vs_baseline</x:v>
      </x:c>
      <x:c r="D124" s="47" t="str">
        <x:v>Fragmented World vs baseline</x:v>
      </x:c>
      <x:c r="E124" s="14" t="str">
        <x:v>Fragmented vs baseline</x:v>
      </x:c>
      <x:c r="F124" s="14" t="str">
        <x:v>fragmented_world</x:v>
      </x:c>
      <x:c r="G124" s="14" t="str">
        <x:v>baseline</x:v>
      </x:c>
      <x:c r="H124" s="14" t="str">
        <x:v>2050</x:v>
      </x:c>
      <x:c r="I124" s="14" t="str">
        <x:v>high</x:v>
      </x:c>
      <x:c r="J124" s="14" t="str">
        <x:v>True</x:v>
      </x:c>
      <x:c r="K124" s="14" t="str">
        <x:v>CFP-2026-003-R17-20260804T234500Z</x:v>
      </x:c>
      <x:c r="L124" s="47" t="str">
        <x:v>Prototype DCF completed with reported Scope 1/2/3, SEC PP&amp;E, FEMA expected annual loss rates, NGFS/CIE pathways, and disclosed Low/Base/High financial-conversion assumptions; issuer facility exposure is not fully verified; no automatic trade, audited valuation, price target, forecast return, or probability</x:v>
      </x:c>
      <x:c r="M124" s="66" t="str">
        <x:v>-25.163984113183268</x:v>
      </x:c>
      <x:c r="N124" s="68" t="str">
        <x:v>676608329467.1913</x:v>
      </x:c>
      <x:c r="O124" s="68" t="str">
        <x:v>506346716931.5925</x:v>
      </x:c>
      <x:c r="P124" s="68" t="str">
        <x:v>37562427566.9594</x:v>
      </x:c>
      <x:c r="Q124" s="68" t="str">
        <x:v>23898300244.308342</x:v>
      </x:c>
      <x:c r="R124" s="68" t="str">
        <x:v>-13664127322.651054</x:v>
      </x:c>
      <x:c r="S124" s="68" t="str">
        <x:v>24046905786.56586</x:v>
      </x:c>
      <x:c r="T124" s="66" t="str">
        <x:v>26.691398088288736</x:v>
      </x:c>
      <x:c r="U124" s="66" t="str">
        <x:v>1.3204288459531106</x:v>
      </x:c>
      <x:c r="V124" s="66" t="str">
        <x:v>8.36528766596113</x:v>
      </x:c>
      <x:c r="W124" s="68" t="str">
        <x:v>10025937073.522242</x:v>
      </x:c>
      <x:c r="X124" s="68" t="str">
        <x:v>495985128.834375</x:v>
      </x:c>
      <x:c r="Y124" s="68" t="str">
        <x:v>3142205120.294438</x:v>
      </x:c>
      <x:c r="Z124" s="66" t="str">
        <x:v>-18.38021426939823</x:v>
      </x:c>
      <x:c r="AA124" s="66" t="str">
        <x:v>-1.1062101429776925</x:v>
      </x:c>
      <x:c r="AB124" s="66" t="str">
        <x:v>-5.677559700807347</x:v>
      </x:c>
      <x:c r="AC124" s="68" t="str">
        <x:v>9224962006.956676</x:v>
      </x:c>
      <x:c r="AD124" s="68" t="str">
        <x:v>465683178.2357937</x:v>
      </x:c>
      <x:c r="AE124" s="68" t="str">
        <x:v>335291888.32977146</x:v>
      </x:c>
      <x:c r="AF124" s="68" t="str">
        <x:v>272506485.09410274</x:v>
      </x:c>
      <x:c r="AG124" s="68" t="str">
        <x:v>223478643.7402723</x:v>
      </x:c>
      <x:c r="AH124" s="70" t="str">
        <x:v>104000000.0</x:v>
      </x:c>
      <x:c r="AI124" s="70" t="str">
        <x:v>7000000.0</x:v>
      </x:c>
      <x:c r="AJ124" s="70" t="str">
        <x:v>630000000.0</x:v>
      </x:c>
      <x:c r="AK124" s="68" t="str">
        <x:v>299373000000.0</x:v>
      </x:c>
      <x:c r="AL124" s="66" t="str">
        <x:v>0.18613243120519987</x:v>
      </x:c>
      <x:c r="AM124" s="70" t="str">
        <x:v>49.0</x:v>
      </x:c>
      <x:c r="AN124" s="70" t="str">
        <x:v>68.0</x:v>
      </x:c>
      <x:c r="AO124" s="66" t="str">
        <x:v>72.05882352941177</x:v>
      </x:c>
      <x:c r="AP124" s="14" t="str">
        <x:v>Medium</x:v>
      </x:c>
      <x:c r="AQ124" s="47" t="str">
        <x:v>Issuer facility-to-FEMA county match</x:v>
      </x:c>
      <x:c r="AR124" s="66" t="str">
        <x:v>0.18613243120519987</x:v>
      </x:c>
      <x:c r="AS124" s="66" t="str">
        <x:v>7.43690764334572</x:v>
      </x:c>
      <x:c r="AT124" s="66" t="str">
        <x:v>0.0</x:v>
      </x:c>
      <x:c r="AU124" s="66" t="str">
        <x:v>5.418008975739499</x:v>
      </x:c>
      <x:c r="AV124" s="66" t="str">
        <x:v>1.7999999999999998</x:v>
      </x:c>
      <x:c r="AW124" s="72" t="str">
        <x:v>1.0</x:v>
      </x:c>
      <x:c r="AX124" s="72" t="str">
        <x:v>0.3</x:v>
      </x:c>
      <x:c r="AY124" s="72" t="str">
        <x:v>0.75</x:v>
      </x:c>
      <x:c r="AZ124" s="72" t="str">
        <x:v>0.006</x:v>
      </x:c>
      <x:c r="BA124" s="72" t="str">
        <x:v>0.01</x:v>
      </x:c>
      <x:c r="BB124" s="72" t="str">
        <x:v>0.6075</x:v>
      </x:c>
      <x:c r="BC124" s="72" t="str">
        <x:v>0.3</x:v>
      </x:c>
      <x:c r="BD124" s="72" t="str">
        <x:v>0.2</x:v>
      </x:c>
      <x:c r="BE124" s="72" t="str">
        <x:v>0.4</x:v>
      </x:c>
      <x:c r="BF124" s="14" t="str">
        <x:v>1.15</x:v>
      </x:c>
      <x:c r="BG124" s="72" t="str">
        <x:v>1.0</x:v>
      </x:c>
      <x:c r="BH124" s="74" t="str">
        <x:v>1.0456609582451413</x:v>
      </x:c>
      <x:c r="BI124" s="47" t="str">
        <x:v>Common scenario elasticity + issuer SEC CapEx/CFO dependency scale</x:v>
      </x:c>
      <x:c r="BJ124" s="47" t="str">
        <x:v>Modeled estimate using observed inputs + disclosed assumptions</x:v>
      </x:c>
      <x:c r="BK124" s="14" t="str">
        <x:v>False</x:v>
      </x:c>
      <x:c r="BL124" s="14" t="str">
        <x:v>False</x:v>
      </x:c>
      <x:c r="BM124" s="14" t="str">
        <x:v>False</x:v>
      </x:c>
      <x:c r="BN124" s="47" t="str">
        <x:v>Conditional scenario sensitivity; not a forecast or probability</x:v>
      </x:c>
      <x:c r="BO124" s="66" t="str">
        <x:v>133.6254994536878</x:v>
      </x:c>
    </x:row>
  </x:sheetData>
  <x:mergeCells>
    <x:mergeCell ref="A1:BO1"/>
    <x:mergeCell ref="A2:B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3" t="str">
        <x:v>Base Scenario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Formula-driven from Scenario Results; each number is a relative target/reference EV differential, not a forecast return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76" t="str">
        <x:v>scenario_pair_key</x:v>
      </x:c>
      <x:c r="B3" s="76" t="str">
        <x:v>cp_vs_baseline</x:v>
      </x:c>
      <x:c r="C3" s="76" t="str">
        <x:v>nz_vs_baseline</x:v>
      </x:c>
      <x:c r="D3" s="76" t="str">
        <x:v>below2c_vs_cp</x:v>
      </x:c>
      <x:c r="E3" s="76" t="str">
        <x:v>cp_vs_delayed</x:v>
      </x:c>
      <x:c r="F3" s="76" t="str">
        <x:v>fragmented_vs_baseline</x:v>
      </x:c>
      <x:c r="H3" s="76" t="str">
        <x:v>nz_vs_baseline</x:v>
      </x:c>
      <x:c r="I3" s="76" t="str">
        <x:v>nz_vs_baseline</x:v>
      </x:c>
      <x:c r="J3" s="76" t="str">
        <x:v>nz_vs_baseline</x:v>
      </x:c>
    </x:row>
    <x:row r="4" ht="34" customHeight="1">
      <x:c r="A4" s="12" t="str">
        <x:v>Issuer</x:v>
      </x:c>
      <x:c r="B4" s="12" t="str">
        <x:v>Current Policies vs baseline</x:v>
      </x:c>
      <x:c r="C4" s="12" t="str">
        <x:v>Net Zero vs baseline</x:v>
      </x:c>
      <x:c r="D4" s="12" t="str">
        <x:v>Below 2°C vs Current Policies</x:v>
      </x:c>
      <x:c r="E4" s="12" t="str">
        <x:v>Current Policies vs Delayed</x:v>
      </x:c>
      <x:c r="F4" s="12" t="str">
        <x:v>Fragmented World vs baseline</x:v>
      </x:c>
      <x:c r="H4" s="12" t="str">
        <x:v>Net Zero Low</x:v>
      </x:c>
      <x:c r="I4" s="12" t="str">
        <x:v>Net Zero Base</x:v>
      </x:c>
      <x:c r="J4" s="12" t="str">
        <x:v>Net Zero High</x:v>
      </x:c>
      <x:c r="L4" s="79" t="str">
        <x:v>Issuer</x:v>
      </x:c>
      <x:c r="M4" s="79" t="str">
        <x:v>CP vs baseline</x:v>
      </x:c>
    </x:row>
    <x:row r="5">
      <x:c r="A5" s="14" t="str">
        <x:v>AAPL</x:v>
      </x:c>
      <x:c r="B5" s="78" t="n">
        <x:f>SUMIFS('Scenario Results'!$M$5:$M$124,'Scenario Results'!$A$5:$A$124,$A5,'Scenario Results'!$C$5:$C$124,B$3,'Scenario Results'!$I$5:$I$124,"base")</x:f>
        <x:v>-0.5539403113981378</x:v>
      </x:c>
      <x:c r="C5" s="78" t="n">
        <x:f>SUMIFS('Scenario Results'!$M$5:$M$124,'Scenario Results'!$A$5:$A$124,$A5,'Scenario Results'!$C$5:$C$124,C$3,'Scenario Results'!$I$5:$I$124,"base")</x:f>
        <x:v>-0.7632775915896506</x:v>
      </x:c>
      <x:c r="D5" s="78" t="n">
        <x:f>SUMIFS('Scenario Results'!$M$5:$M$124,'Scenario Results'!$A$5:$A$124,$A5,'Scenario Results'!$C$5:$C$124,D$3,'Scenario Results'!$I$5:$I$124,"base")</x:f>
        <x:v>0.03618869003534364</x:v>
      </x:c>
      <x:c r="E5" s="78" t="n">
        <x:f>SUMIFS('Scenario Results'!$M$5:$M$124,'Scenario Results'!$A$5:$A$124,$A5,'Scenario Results'!$C$5:$C$124,E$3,'Scenario Results'!$I$5:$I$124,"base")</x:f>
        <x:v>0.863604956260744</x:v>
      </x:c>
      <x:c r="F5" s="78" t="n">
        <x:f>SUMIFS('Scenario Results'!$M$5:$M$124,'Scenario Results'!$A$5:$A$124,$A5,'Scenario Results'!$C$5:$C$124,F$3,'Scenario Results'!$I$5:$I$124,"base")</x:f>
        <x:v>-1.6778831295729324</x:v>
      </x:c>
      <x:c r="G5" s="78"/>
      <x:c r="H5" s="78" t="n">
        <x:f>SUMIFS('Scenario Results'!$M$5:$M$124,'Scenario Results'!$A$5:$A$124,$A5,'Scenario Results'!$C$5:$C$124,H$3,'Scenario Results'!$I$5:$I$124,"low")</x:f>
        <x:v>-0.3859086664993905</x:v>
      </x:c>
      <x:c r="I5" s="78" t="n">
        <x:f>SUMIFS('Scenario Results'!$M$5:$M$124,'Scenario Results'!$A$5:$A$124,$A5,'Scenario Results'!$C$5:$C$124,I$3,'Scenario Results'!$I$5:$I$124,"base")</x:f>
        <x:v>-0.7632775915896506</x:v>
      </x:c>
      <x:c r="J5" s="78" t="n">
        <x:f>SUMIFS('Scenario Results'!$M$5:$M$124,'Scenario Results'!$A$5:$A$124,$A5,'Scenario Results'!$C$5:$C$124,J$3,'Scenario Results'!$I$5:$I$124,"high")</x:f>
        <x:v>-1.5952819402176743</x:v>
      </x:c>
      <x:c r="L5" t="str">
        <x:v>AAPL</x:v>
      </x:c>
      <x:c r="M5" s="80" t="n">
        <x:f>B5</x:f>
        <x:v>-0.5539403113981378</x:v>
      </x:c>
    </x:row>
    <x:row r="6">
      <x:c r="A6" s="14" t="str">
        <x:v>MSFT</x:v>
      </x:c>
      <x:c r="B6" s="78" t="n">
        <x:f>SUMIFS('Scenario Results'!$M$5:$M$124,'Scenario Results'!$A$5:$A$124,$A6,'Scenario Results'!$C$5:$C$124,B$3,'Scenario Results'!$I$5:$I$124,"base")</x:f>
        <x:v>-0.7744439350163335</x:v>
      </x:c>
      <x:c r="C6" s="78" t="n">
        <x:f>SUMIFS('Scenario Results'!$M$5:$M$124,'Scenario Results'!$A$5:$A$124,$A6,'Scenario Results'!$C$5:$C$124,C$3,'Scenario Results'!$I$5:$I$124,"base")</x:f>
        <x:v>-1.1167168782304948</x:v>
      </x:c>
      <x:c r="D6" s="78" t="n">
        <x:f>SUMIFS('Scenario Results'!$M$5:$M$124,'Scenario Results'!$A$5:$A$124,$A6,'Scenario Results'!$C$5:$C$124,D$3,'Scenario Results'!$I$5:$I$124,"base")</x:f>
        <x:v>0.054244781334666925</x:v>
      </x:c>
      <x:c r="E6" s="78" t="n">
        <x:f>SUMIFS('Scenario Results'!$M$5:$M$124,'Scenario Results'!$A$5:$A$124,$A6,'Scenario Results'!$C$5:$C$124,E$3,'Scenario Results'!$I$5:$I$124,"base")</x:f>
        <x:v>1.3691887123201463</x:v>
      </x:c>
      <x:c r="F6" s="78" t="n">
        <x:f>SUMIFS('Scenario Results'!$M$5:$M$124,'Scenario Results'!$A$5:$A$124,$A6,'Scenario Results'!$C$5:$C$124,F$3,'Scenario Results'!$I$5:$I$124,"base")</x:f>
        <x:v>-2.538859584592845</x:v>
      </x:c>
      <x:c r="G6" s="78"/>
      <x:c r="H6" s="78" t="n">
        <x:f>SUMIFS('Scenario Results'!$M$5:$M$124,'Scenario Results'!$A$5:$A$124,$A6,'Scenario Results'!$C$5:$C$124,H$3,'Scenario Results'!$I$5:$I$124,"low")</x:f>
        <x:v>-0.5798128595401297</x:v>
      </x:c>
      <x:c r="I6" s="78" t="n">
        <x:f>SUMIFS('Scenario Results'!$M$5:$M$124,'Scenario Results'!$A$5:$A$124,$A6,'Scenario Results'!$C$5:$C$124,I$3,'Scenario Results'!$I$5:$I$124,"base")</x:f>
        <x:v>-1.1167168782304948</x:v>
      </x:c>
      <x:c r="J6" s="78" t="n">
        <x:f>SUMIFS('Scenario Results'!$M$5:$M$124,'Scenario Results'!$A$5:$A$124,$A6,'Scenario Results'!$C$5:$C$124,J$3,'Scenario Results'!$I$5:$I$124,"high")</x:f>
        <x:v>-2.238736493185456</x:v>
      </x:c>
      <x:c r="L6" t="str">
        <x:v>MSFT</x:v>
      </x:c>
      <x:c r="M6" s="80" t="n">
        <x:f>B6</x:f>
        <x:v>-0.7744439350163335</x:v>
      </x:c>
    </x:row>
    <x:row r="7">
      <x:c r="A7" s="14" t="str">
        <x:v>CAT</x:v>
      </x:c>
      <x:c r="B7" s="78" t="n">
        <x:f>SUMIFS('Scenario Results'!$M$5:$M$124,'Scenario Results'!$A$5:$A$124,$A7,'Scenario Results'!$C$5:$C$124,B$3,'Scenario Results'!$I$5:$I$124,"base")</x:f>
        <x:v>-0.5795814964330126</x:v>
      </x:c>
      <x:c r="C7" s="78" t="n">
        <x:f>SUMIFS('Scenario Results'!$M$5:$M$124,'Scenario Results'!$A$5:$A$124,$A7,'Scenario Results'!$C$5:$C$124,C$3,'Scenario Results'!$I$5:$I$124,"base")</x:f>
        <x:v>-5.818660737092063</x:v>
      </x:c>
      <x:c r="D7" s="78" t="n">
        <x:f>SUMIFS('Scenario Results'!$M$5:$M$124,'Scenario Results'!$A$5:$A$124,$A7,'Scenario Results'!$C$5:$C$124,D$3,'Scenario Results'!$I$5:$I$124,"base")</x:f>
        <x:v>-0.9584513435582087</x:v>
      </x:c>
      <x:c r="E7" s="78" t="n">
        <x:f>SUMIFS('Scenario Results'!$M$5:$M$124,'Scenario Results'!$A$5:$A$124,$A7,'Scenario Results'!$C$5:$C$124,E$3,'Scenario Results'!$I$5:$I$124,"base")</x:f>
        <x:v>2.977112816608085</x:v>
      </x:c>
      <x:c r="F7" s="78" t="n">
        <x:f>SUMIFS('Scenario Results'!$M$5:$M$124,'Scenario Results'!$A$5:$A$124,$A7,'Scenario Results'!$C$5:$C$124,F$3,'Scenario Results'!$I$5:$I$124,"base")</x:f>
        <x:v>-2.3943903310461367</x:v>
      </x:c>
      <x:c r="G7" s="78"/>
      <x:c r="H7" s="78" t="n">
        <x:f>SUMIFS('Scenario Results'!$M$5:$M$124,'Scenario Results'!$A$5:$A$124,$A7,'Scenario Results'!$C$5:$C$124,H$3,'Scenario Results'!$I$5:$I$124,"low")</x:f>
        <x:v>-1.5881178280016117</x:v>
      </x:c>
      <x:c r="I7" s="78" t="n">
        <x:f>SUMIFS('Scenario Results'!$M$5:$M$124,'Scenario Results'!$A$5:$A$124,$A7,'Scenario Results'!$C$5:$C$124,I$3,'Scenario Results'!$I$5:$I$124,"base")</x:f>
        <x:v>-5.818660737092063</x:v>
      </x:c>
      <x:c r="J7" s="78" t="n">
        <x:f>SUMIFS('Scenario Results'!$M$5:$M$124,'Scenario Results'!$A$5:$A$124,$A7,'Scenario Results'!$C$5:$C$124,J$3,'Scenario Results'!$I$5:$I$124,"high")</x:f>
        <x:v>-19.655970575323167</x:v>
      </x:c>
      <x:c r="L7" t="str">
        <x:v>CAT</x:v>
      </x:c>
      <x:c r="M7" s="80" t="n">
        <x:f>B7</x:f>
        <x:v>-0.5795814964330126</x:v>
      </x:c>
    </x:row>
    <x:row r="8">
      <x:c r="A8" s="14" t="str">
        <x:v>DE</x:v>
      </x:c>
      <x:c r="B8" s="78" t="n">
        <x:f>SUMIFS('Scenario Results'!$M$5:$M$124,'Scenario Results'!$A$5:$A$124,$A8,'Scenario Results'!$C$5:$C$124,B$3,'Scenario Results'!$I$5:$I$124,"base")</x:f>
        <x:v>-0.6489577894968179</x:v>
      </x:c>
      <x:c r="C8" s="78" t="n">
        <x:f>SUMIFS('Scenario Results'!$M$5:$M$124,'Scenario Results'!$A$5:$A$124,$A8,'Scenario Results'!$C$5:$C$124,C$3,'Scenario Results'!$I$5:$I$124,"base")</x:f>
        <x:v>-1.9549841909367482</x:v>
      </x:c>
      <x:c r="D8" s="78" t="n">
        <x:f>SUMIFS('Scenario Results'!$M$5:$M$124,'Scenario Results'!$A$5:$A$124,$A8,'Scenario Results'!$C$5:$C$124,D$3,'Scenario Results'!$I$5:$I$124,"base")</x:f>
        <x:v>-0.15383675445798106</x:v>
      </x:c>
      <x:c r="E8" s="78" t="n">
        <x:f>SUMIFS('Scenario Results'!$M$5:$M$124,'Scenario Results'!$A$5:$A$124,$A8,'Scenario Results'!$C$5:$C$124,E$3,'Scenario Results'!$I$5:$I$124,"base")</x:f>
        <x:v>1.6599644950947345</x:v>
      </x:c>
      <x:c r="F8" s="78" t="n">
        <x:f>SUMIFS('Scenario Results'!$M$5:$M$124,'Scenario Results'!$A$5:$A$124,$A8,'Scenario Results'!$C$5:$C$124,F$3,'Scenario Results'!$I$5:$I$124,"base")</x:f>
        <x:v>-2.1989032800085906</x:v>
      </x:c>
      <x:c r="G8" s="78"/>
      <x:c r="H8" s="78" t="n">
        <x:f>SUMIFS('Scenario Results'!$M$5:$M$124,'Scenario Results'!$A$5:$A$124,$A8,'Scenario Results'!$C$5:$C$124,H$3,'Scenario Results'!$I$5:$I$124,"low")</x:f>
        <x:v>-0.7091428227419483</x:v>
      </x:c>
      <x:c r="I8" s="78" t="n">
        <x:f>SUMIFS('Scenario Results'!$M$5:$M$124,'Scenario Results'!$A$5:$A$124,$A8,'Scenario Results'!$C$5:$C$124,I$3,'Scenario Results'!$I$5:$I$124,"base")</x:f>
        <x:v>-1.9549841909367482</x:v>
      </x:c>
      <x:c r="J8" s="78" t="n">
        <x:f>SUMIFS('Scenario Results'!$M$5:$M$124,'Scenario Results'!$A$5:$A$124,$A8,'Scenario Results'!$C$5:$C$124,J$3,'Scenario Results'!$I$5:$I$124,"high")</x:f>
        <x:v>-5.604546374964647</x:v>
      </x:c>
      <x:c r="L8" t="str">
        <x:v>DE</x:v>
      </x:c>
      <x:c r="M8" s="80" t="n">
        <x:f>B8</x:f>
        <x:v>-0.6489577894968179</x:v>
      </x:c>
    </x:row>
    <x:row r="9">
      <x:c r="A9" s="14" t="str">
        <x:v>CVX</x:v>
      </x:c>
      <x:c r="B9" s="78" t="n">
        <x:f>SUMIFS('Scenario Results'!$M$5:$M$124,'Scenario Results'!$A$5:$A$124,$A9,'Scenario Results'!$C$5:$C$124,B$3,'Scenario Results'!$I$5:$I$124,"base")</x:f>
        <x:v>-1.3254922218104204</x:v>
      </x:c>
      <x:c r="C9" s="78" t="n">
        <x:f>SUMIFS('Scenario Results'!$M$5:$M$124,'Scenario Results'!$A$5:$A$124,$A9,'Scenario Results'!$C$5:$C$124,C$3,'Scenario Results'!$I$5:$I$124,"base")</x:f>
        <x:v>-25.759684409994566</x:v>
      </x:c>
      <x:c r="D9" s="78" t="n">
        <x:f>SUMIFS('Scenario Results'!$M$5:$M$124,'Scenario Results'!$A$5:$A$124,$A9,'Scenario Results'!$C$5:$C$124,D$3,'Scenario Results'!$I$5:$I$124,"base")</x:f>
        <x:v>-4.37406498350369</x:v>
      </x:c>
      <x:c r="E9" s="78" t="n">
        <x:f>SUMIFS('Scenario Results'!$M$5:$M$124,'Scenario Results'!$A$5:$A$124,$A9,'Scenario Results'!$C$5:$C$124,E$3,'Scenario Results'!$I$5:$I$124,"base")</x:f>
        <x:v>19.298376760428205</x:v>
      </x:c>
      <x:c r="F9" s="78" t="n">
        <x:f>SUMIFS('Scenario Results'!$M$5:$M$124,'Scenario Results'!$A$5:$A$124,$A9,'Scenario Results'!$C$5:$C$124,F$3,'Scenario Results'!$I$5:$I$124,"base")</x:f>
        <x:v>-7.411920785956472</x:v>
      </x:c>
      <x:c r="G9" s="78"/>
      <x:c r="H9" s="78" t="n">
        <x:f>SUMIFS('Scenario Results'!$M$5:$M$124,'Scenario Results'!$A$5:$A$124,$A9,'Scenario Results'!$C$5:$C$124,H$3,'Scenario Results'!$I$5:$I$124,"low")</x:f>
        <x:v>-7.5091380482886105</x:v>
      </x:c>
      <x:c r="I9" s="78" t="n">
        <x:f>SUMIFS('Scenario Results'!$M$5:$M$124,'Scenario Results'!$A$5:$A$124,$A9,'Scenario Results'!$C$5:$C$124,I$3,'Scenario Results'!$I$5:$I$124,"base")</x:f>
        <x:v>-25.759684409994566</x:v>
      </x:c>
      <x:c r="J9" s="78" t="n">
        <x:f>SUMIFS('Scenario Results'!$M$5:$M$124,'Scenario Results'!$A$5:$A$124,$A9,'Scenario Results'!$C$5:$C$124,J$3,'Scenario Results'!$I$5:$I$124,"high")</x:f>
        <x:v>-69.9210573929396</x:v>
      </x:c>
      <x:c r="L9" t="str">
        <x:v>CVX</x:v>
      </x:c>
      <x:c r="M9" s="80" t="n">
        <x:f>B9</x:f>
        <x:v>-1.3254922218104204</x:v>
      </x:c>
    </x:row>
    <x:row r="10">
      <x:c r="A10" s="14" t="str">
        <x:v>XOM</x:v>
      </x:c>
      <x:c r="B10" s="78" t="n">
        <x:f>SUMIFS('Scenario Results'!$M$5:$M$124,'Scenario Results'!$A$5:$A$124,$A10,'Scenario Results'!$C$5:$C$124,B$3,'Scenario Results'!$I$5:$I$124,"base")</x:f>
        <x:v>-1.3552362351022418</x:v>
      </x:c>
      <x:c r="C10" s="78" t="n">
        <x:f>SUMIFS('Scenario Results'!$M$5:$M$124,'Scenario Results'!$A$5:$A$124,$A10,'Scenario Results'!$C$5:$C$124,C$3,'Scenario Results'!$I$5:$I$124,"base")</x:f>
        <x:v>-37.99538072621409</x:v>
      </x:c>
      <x:c r="D10" s="78" t="n">
        <x:f>SUMIFS('Scenario Results'!$M$5:$M$124,'Scenario Results'!$A$5:$A$124,$A10,'Scenario Results'!$C$5:$C$124,D$3,'Scenario Results'!$I$5:$I$124,"base")</x:f>
        <x:v>-6.493744910939403</x:v>
      </x:c>
      <x:c r="E10" s="78" t="n">
        <x:f>SUMIFS('Scenario Results'!$M$5:$M$124,'Scenario Results'!$A$5:$A$124,$A10,'Scenario Results'!$C$5:$C$124,E$3,'Scenario Results'!$I$5:$I$124,"base")</x:f>
        <x:v>36.47822813752721</x:v>
      </x:c>
      <x:c r="F10" s="78" t="n">
        <x:f>SUMIFS('Scenario Results'!$M$5:$M$124,'Scenario Results'!$A$5:$A$124,$A10,'Scenario Results'!$C$5:$C$124,F$3,'Scenario Results'!$I$5:$I$124,"base")</x:f>
        <x:v>-10.056203938444908</x:v>
      </x:c>
      <x:c r="G10" s="78"/>
      <x:c r="H10" s="78" t="n">
        <x:f>SUMIFS('Scenario Results'!$M$5:$M$124,'Scenario Results'!$A$5:$A$124,$A10,'Scenario Results'!$C$5:$C$124,H$3,'Scenario Results'!$I$5:$I$124,"low")</x:f>
        <x:v>-10.625712531167231</x:v>
      </x:c>
      <x:c r="I10" s="78" t="n">
        <x:f>SUMIFS('Scenario Results'!$M$5:$M$124,'Scenario Results'!$A$5:$A$124,$A10,'Scenario Results'!$C$5:$C$124,I$3,'Scenario Results'!$I$5:$I$124,"base")</x:f>
        <x:v>-37.99538072621409</x:v>
      </x:c>
      <x:c r="J10" s="78" t="n">
        <x:f>SUMIFS('Scenario Results'!$M$5:$M$124,'Scenario Results'!$A$5:$A$124,$A10,'Scenario Results'!$C$5:$C$124,J$3,'Scenario Results'!$I$5:$I$124,"high")</x:f>
        <x:v>-85.76780622175431</x:v>
      </x:c>
      <x:c r="L10" t="str">
        <x:v>XOM</x:v>
      </x:c>
      <x:c r="M10" s="80" t="n">
        <x:f>B10</x:f>
        <x:v>-1.3552362351022418</x:v>
      </x:c>
    </x:row>
    <x:row r="11">
      <x:c r="A11" s="14" t="str">
        <x:v>NEE</x:v>
      </x:c>
      <x:c r="B11" s="78" t="n">
        <x:f>SUMIFS('Scenario Results'!$M$5:$M$124,'Scenario Results'!$A$5:$A$124,$A11,'Scenario Results'!$C$5:$C$124,B$3,'Scenario Results'!$I$5:$I$124,"base")</x:f>
        <x:v>-2.2237366704251804</x:v>
      </x:c>
      <x:c r="C11" s="78" t="n">
        <x:f>SUMIFS('Scenario Results'!$M$5:$M$124,'Scenario Results'!$A$5:$A$124,$A11,'Scenario Results'!$C$5:$C$124,C$3,'Scenario Results'!$I$5:$I$124,"base")</x:f>
        <x:v>-35.15529295786975</x:v>
      </x:c>
      <x:c r="D11" s="78" t="n">
        <x:f>SUMIFS('Scenario Results'!$M$5:$M$124,'Scenario Results'!$A$5:$A$124,$A11,'Scenario Results'!$C$5:$C$124,D$3,'Scenario Results'!$I$5:$I$124,"base")</x:f>
        <x:v>-5.855085956499561</x:v>
      </x:c>
      <x:c r="E11" s="78" t="n">
        <x:f>SUMIFS('Scenario Results'!$M$5:$M$124,'Scenario Results'!$A$5:$A$124,$A11,'Scenario Results'!$C$5:$C$124,E$3,'Scenario Results'!$I$5:$I$124,"base")</x:f>
        <x:v>29.639967406482825</x:v>
      </x:c>
      <x:c r="F11" s="78" t="n">
        <x:f>SUMIFS('Scenario Results'!$M$5:$M$124,'Scenario Results'!$A$5:$A$124,$A11,'Scenario Results'!$C$5:$C$124,F$3,'Scenario Results'!$I$5:$I$124,"base")</x:f>
        <x:v>-11.787203558983684</x:v>
      </x:c>
      <x:c r="G11" s="78"/>
      <x:c r="H11" s="78" t="n">
        <x:f>SUMIFS('Scenario Results'!$M$5:$M$124,'Scenario Results'!$A$5:$A$124,$A11,'Scenario Results'!$C$5:$C$124,H$3,'Scenario Results'!$I$5:$I$124,"low")</x:f>
        <x:v>-10.696196870062114</x:v>
      </x:c>
      <x:c r="I11" s="78" t="n">
        <x:f>SUMIFS('Scenario Results'!$M$5:$M$124,'Scenario Results'!$A$5:$A$124,$A11,'Scenario Results'!$C$5:$C$124,I$3,'Scenario Results'!$I$5:$I$124,"base")</x:f>
        <x:v>-35.15529295786975</x:v>
      </x:c>
      <x:c r="J11" s="78" t="n">
        <x:f>SUMIFS('Scenario Results'!$M$5:$M$124,'Scenario Results'!$A$5:$A$124,$A11,'Scenario Results'!$C$5:$C$124,J$3,'Scenario Results'!$I$5:$I$124,"high")</x:f>
        <x:v>-79.9289171739135</x:v>
      </x:c>
      <x:c r="L11" t="str">
        <x:v>NEE</x:v>
      </x:c>
      <x:c r="M11" s="80" t="n">
        <x:f>B11</x:f>
        <x:v>-2.2237366704251804</x:v>
      </x:c>
    </x:row>
    <x:row r="12">
      <x:c r="A12" s="14" t="str">
        <x:v>DUK</x:v>
      </x:c>
      <x:c r="B12" s="78" t="n">
        <x:f>SUMIFS('Scenario Results'!$M$5:$M$124,'Scenario Results'!$A$5:$A$124,$A12,'Scenario Results'!$C$5:$C$124,B$3,'Scenario Results'!$I$5:$I$124,"base")</x:f>
        <x:v>-4.735551081659628</x:v>
      </x:c>
      <x:c r="C12" s="78" t="n">
        <x:f>SUMIFS('Scenario Results'!$M$5:$M$124,'Scenario Results'!$A$5:$A$124,$A12,'Scenario Results'!$C$5:$C$124,C$3,'Scenario Results'!$I$5:$I$124,"base")</x:f>
        <x:v>-100</x:v>
      </x:c>
      <x:c r="D12" s="78" t="n">
        <x:f>SUMIFS('Scenario Results'!$M$5:$M$124,'Scenario Results'!$A$5:$A$124,$A12,'Scenario Results'!$C$5:$C$124,D$3,'Scenario Results'!$I$5:$I$124,"base")</x:f>
        <x:v>-75.52051808556016</x:v>
      </x:c>
      <x:c r="E12" s="78" t="n">
        <x:f>SUMIFS('Scenario Results'!$M$5:$M$124,'Scenario Results'!$A$5:$A$124,$A12,'Scenario Results'!$C$5:$C$124,E$3,'Scenario Results'!$I$5:$I$124,"base")</x:f>
        <x:v>425.6677462801987</x:v>
      </x:c>
      <x:c r="F12" s="78" t="n">
        <x:f>SUMIFS('Scenario Results'!$M$5:$M$124,'Scenario Results'!$A$5:$A$124,$A12,'Scenario Results'!$C$5:$C$124,F$3,'Scenario Results'!$I$5:$I$124,"base")</x:f>
        <x:v>-77.69294556291098</x:v>
      </x:c>
      <x:c r="G12" s="78"/>
      <x:c r="H12" s="78" t="n">
        <x:f>SUMIFS('Scenario Results'!$M$5:$M$124,'Scenario Results'!$A$5:$A$124,$A12,'Scenario Results'!$C$5:$C$124,H$3,'Scenario Results'!$I$5:$I$124,"low")</x:f>
        <x:v>-97.45902133993421</x:v>
      </x:c>
      <x:c r="I12" s="78" t="n">
        <x:f>SUMIFS('Scenario Results'!$M$5:$M$124,'Scenario Results'!$A$5:$A$124,$A12,'Scenario Results'!$C$5:$C$124,I$3,'Scenario Results'!$I$5:$I$124,"base")</x:f>
        <x:v>-100</x:v>
      </x:c>
      <x:c r="J12" s="78" t="n">
        <x:f>SUMIFS('Scenario Results'!$M$5:$M$124,'Scenario Results'!$A$5:$A$124,$A12,'Scenario Results'!$C$5:$C$124,J$3,'Scenario Results'!$I$5:$I$124,"high")</x:f>
        <x:v>-100</x:v>
      </x:c>
      <x:c r="L12" t="str">
        <x:v>DUK</x:v>
      </x:c>
      <x:c r="M12" s="80" t="n">
        <x:f>B12</x:f>
        <x:v>-4.735551081659628</x:v>
      </x:c>
    </x:row>
  </x:sheetData>
  <x:mergeCells>
    <x:mergeCell ref="A1:T1"/>
    <x:mergeCell ref="A2:T2"/>
  </x:mergeCells>
  <x:conditionalFormatting sqref="B5:F12">
    <x:cfRule type="colorScale" priority="1">
      <x:colorScale>
        <x:cfvo type="min"/>
        <x:cfvo type="percentile" val="50"/>
        <x:cfvo type="max"/>
        <x:color rgb="FFF6B4B8"/>
        <x:color rgb="FFFFF7D6"/>
        <x:color rgb="FFBFE0C8"/>
      </x:colorScale>
    </x:cfRule>
  </x:conditionalFormatting>
  <x:conditionalFormatting sqref="H5:J12">
    <x:cfRule type="colorScale" priority="2">
      <x:colorScale>
        <x:cfvo type="min"/>
        <x:cfvo type="percentile" val="50"/>
        <x:cfvo type="max"/>
        <x:color rgb="FFF6B4B8"/>
        <x:color rgb="FFFFF7D6"/>
        <x:color rgb="FFBFE0C8"/>
      </x:colorScale>
    </x:cfRule>
  </x:conditionalFormatting>
  <x:pageMargins left="0.7" right="0.7" top="0.75" bottom="0.75" header="0.3" footer="0.3"/>
  <x:drawing xmlns:r="http://schemas.openxmlformats.org/officeDocument/2006/relationships" r:id="R6dac416e7b70466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46" hidden="0" customWidth="1"/>
  </x:cols>
  <x:sheetData>
    <x:row r="1" ht="30" customHeight="1">
      <x:c r="A1" s="3" t="str">
        <x:v>Data Quality and Model Specificity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Physical confidence reflects facility match coverage; AAPL/MSFT FEMA rates are disclosed proxies, not issuer facility observations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2" t="str">
        <x:v>Issuer</x:v>
      </x:c>
      <x:c r="B4" s="12" t="str">
        <x:v>Sector</x:v>
      </x:c>
      <x:c r="C4" s="12" t="str">
        <x:v>Facilities</x:v>
      </x:c>
      <x:c r="D4" s="12" t="str">
        <x:v>FEMA matches</x:v>
      </x:c>
      <x:c r="E4" s="12" t="str">
        <x:v>Match coverage</x:v>
      </x:c>
      <x:c r="F4" s="12" t="str">
        <x:v>Physical confidence</x:v>
      </x:c>
      <x:c r="G4" s="12" t="str">
        <x:v>Physical evidence type</x:v>
      </x:c>
      <x:c r="H4" s="12" t="str">
        <x:v>FEMA EAL input</x:v>
      </x:c>
      <x:c r="I4" s="12" t="str">
        <x:v>Issuer-specific EAL</x:v>
      </x:c>
      <x:c r="J4" s="12" t="str">
        <x:v>Macro elasticity</x:v>
      </x:c>
      <x:c r="K4" s="12" t="str">
        <x:v>Issuer dependency scale</x:v>
      </x:c>
      <x:c r="L4" s="12" t="str">
        <x:v>Macro specificity</x:v>
      </x:c>
    </x:row>
    <x:row r="5">
      <x:c r="A5" s="77" t="str">
        <x:f>'Inputs'!A5</x:f>
        <x:v>AAPL</x:v>
      </x:c>
      <x:c r="B5" s="77" t="str">
        <x:f>'Inputs'!B5</x:f>
        <x:v>Technology</x:v>
      </x:c>
      <x:c r="C5" s="81" t="str">
        <x:f>'Inputs'!I5</x:f>
        <x:v>0.0</x:v>
      </x:c>
      <x:c r="D5" s="81" t="str">
        <x:f>'Inputs'!J5</x:f>
        <x:v>0.0</x:v>
      </x:c>
      <x:c r="E5" s="82" t="str">
        <x:f>'Inputs'!K5</x:f>
      </x:c>
      <x:c r="F5" s="77" t="str">
        <x:f>'Inputs'!L5</x:f>
        <x:v>Unverified</x:v>
      </x:c>
      <x:c r="G5" s="86" t="str">
        <x:f>'Inputs'!M5</x:f>
        <x:v>Proxy fallback; no issuer facilities in governed match file</x:v>
      </x:c>
      <x:c r="H5" s="83" t="str">
        <x:f>'Inputs'!N5</x:f>
        <x:v>0.18089619337783003</x:v>
      </x:c>
      <x:c r="I5" s="83" t="str">
        <x:f>'Inputs'!O5</x:f>
      </x:c>
      <x:c r="J5" s="84" t="str">
        <x:f>'Inputs'!AB5</x:f>
        <x:v>0.6</x:v>
      </x:c>
      <x:c r="K5" s="85" t="str">
        <x:f>'Inputs'!AC5</x:f>
        <x:v>0.6140542867906926</x:v>
      </x:c>
      <x:c r="L5" s="86" t="str">
        <x:f>'Inputs'!AD5</x:f>
        <x:v>Common scenario elasticity + issuer SEC CapEx/CFO dependency scale</x:v>
      </x:c>
    </x:row>
    <x:row r="6">
      <x:c r="A6" s="77" t="str">
        <x:f>'Inputs'!A6</x:f>
        <x:v>CAT</x:v>
      </x:c>
      <x:c r="B6" s="77" t="str">
        <x:f>'Inputs'!B6</x:f>
        <x:v>Industrials</x:v>
      </x:c>
      <x:c r="C6" s="81" t="str">
        <x:f>'Inputs'!I6</x:f>
        <x:v>7.0</x:v>
      </x:c>
      <x:c r="D6" s="81" t="str">
        <x:f>'Inputs'!J6</x:f>
        <x:v>7.0</x:v>
      </x:c>
      <x:c r="E6" s="82" t="str">
        <x:f>'Inputs'!K6</x:f>
        <x:v>100.0</x:v>
      </x:c>
      <x:c r="F6" s="77" t="str">
        <x:f>'Inputs'!L6</x:f>
        <x:v>High</x:v>
      </x:c>
      <x:c r="G6" s="86" t="str">
        <x:f>'Inputs'!M6</x:f>
        <x:v>Issuer facility-to-FEMA county match</x:v>
      </x:c>
      <x:c r="H6" s="83" t="str">
        <x:f>'Inputs'!N6</x:f>
        <x:v>0.1250652491518801</x:v>
      </x:c>
      <x:c r="I6" s="83" t="str">
        <x:f>'Inputs'!O6</x:f>
        <x:v>0.1250652491518801</x:v>
      </x:c>
      <x:c r="J6" s="84" t="str">
        <x:f>'Inputs'!AB6</x:f>
        <x:v>0.6</x:v>
      </x:c>
      <x:c r="K6" s="85" t="str">
        <x:f>'Inputs'!AC6</x:f>
        <x:v>0.7403100775193798</x:v>
      </x:c>
      <x:c r="L6" s="86" t="str">
        <x:f>'Inputs'!AD6</x:f>
        <x:v>Common scenario elasticity + issuer SEC CapEx/CFO dependency scale</x:v>
      </x:c>
    </x:row>
    <x:row r="7">
      <x:c r="A7" s="77" t="str">
        <x:f>'Inputs'!A7</x:f>
        <x:v>CVX</x:v>
      </x:c>
      <x:c r="B7" s="77" t="str">
        <x:f>'Inputs'!B7</x:f>
        <x:v>Energy</x:v>
      </x:c>
      <x:c r="C7" s="81" t="str">
        <x:f>'Inputs'!I7</x:f>
        <x:v>53.0</x:v>
      </x:c>
      <x:c r="D7" s="81" t="str">
        <x:f>'Inputs'!J7</x:f>
        <x:v>34.0</x:v>
      </x:c>
      <x:c r="E7" s="82" t="str">
        <x:f>'Inputs'!K7</x:f>
        <x:v>64.15094339622641</x:v>
      </x:c>
      <x:c r="F7" s="77" t="str">
        <x:f>'Inputs'!L7</x:f>
        <x:v>Medium</x:v>
      </x:c>
      <x:c r="G7" s="86" t="str">
        <x:f>'Inputs'!M7</x:f>
        <x:v>Issuer facility-to-FEMA county match</x:v>
      </x:c>
      <x:c r="H7" s="83" t="str">
        <x:f>'Inputs'!N7</x:f>
        <x:v>0.31761728843062803</x:v>
      </x:c>
      <x:c r="I7" s="83" t="str">
        <x:f>'Inputs'!O7</x:f>
        <x:v>0.31761728843062803</x:v>
      </x:c>
      <x:c r="J7" s="84" t="str">
        <x:f>'Inputs'!AB7</x:f>
        <x:v>0.6</x:v>
      </x:c>
      <x:c r="K7" s="85" t="str">
        <x:f>'Inputs'!AC7</x:f>
        <x:v>1.0111228969621968</x:v>
      </x:c>
      <x:c r="L7" s="86" t="str">
        <x:f>'Inputs'!AD7</x:f>
        <x:v>Common scenario elasticity + issuer SEC CapEx/CFO dependency scale</x:v>
      </x:c>
    </x:row>
    <x:row r="8">
      <x:c r="A8" s="77" t="str">
        <x:f>'Inputs'!A8</x:f>
        <x:v>DE</x:v>
      </x:c>
      <x:c r="B8" s="77" t="str">
        <x:f>'Inputs'!B8</x:f>
        <x:v>Industrials</x:v>
      </x:c>
      <x:c r="C8" s="81" t="str">
        <x:f>'Inputs'!I8</x:f>
        <x:v>1.0</x:v>
      </x:c>
      <x:c r="D8" s="81" t="str">
        <x:f>'Inputs'!J8</x:f>
        <x:v>1.0</x:v>
      </x:c>
      <x:c r="E8" s="82" t="str">
        <x:f>'Inputs'!K8</x:f>
        <x:v>100.0</x:v>
      </x:c>
      <x:c r="F8" s="77" t="str">
        <x:f>'Inputs'!L8</x:f>
        <x:v>High</x:v>
      </x:c>
      <x:c r="G8" s="86" t="str">
        <x:f>'Inputs'!M8</x:f>
        <x:v>Issuer facility-to-FEMA county match</x:v>
      </x:c>
      <x:c r="H8" s="83" t="str">
        <x:f>'Inputs'!N8</x:f>
        <x:v>0.1054287290454164</x:v>
      </x:c>
      <x:c r="I8" s="83" t="str">
        <x:f>'Inputs'!O8</x:f>
        <x:v>0.1054287290454164</x:v>
      </x:c>
      <x:c r="J8" s="84" t="str">
        <x:f>'Inputs'!AB8</x:f>
        <x:v>0.6</x:v>
      </x:c>
      <x:c r="K8" s="85" t="str">
        <x:f>'Inputs'!AC8</x:f>
        <x:v>0.6823300710551012</x:v>
      </x:c>
      <x:c r="L8" s="86" t="str">
        <x:f>'Inputs'!AD8</x:f>
        <x:v>Common scenario elasticity + issuer SEC CapEx/CFO dependency scale</x:v>
      </x:c>
    </x:row>
    <x:row r="9">
      <x:c r="A9" s="77" t="str">
        <x:f>'Inputs'!A9</x:f>
        <x:v>DUK</x:v>
      </x:c>
      <x:c r="B9" s="77" t="str">
        <x:f>'Inputs'!B9</x:f>
        <x:v>Utilities</x:v>
      </x:c>
      <x:c r="C9" s="81" t="str">
        <x:f>'Inputs'!I9</x:f>
        <x:v>49.0</x:v>
      </x:c>
      <x:c r="D9" s="81" t="str">
        <x:f>'Inputs'!J9</x:f>
        <x:v>48.0</x:v>
      </x:c>
      <x:c r="E9" s="82" t="str">
        <x:f>'Inputs'!K9</x:f>
        <x:v>97.95918367346938</x:v>
      </x:c>
      <x:c r="F9" s="77" t="str">
        <x:f>'Inputs'!L9</x:f>
        <x:v>High</x:v>
      </x:c>
      <x:c r="G9" s="86" t="str">
        <x:f>'Inputs'!M9</x:f>
        <x:v>Issuer facility-to-FEMA county match</x:v>
      </x:c>
      <x:c r="H9" s="83" t="str">
        <x:f>'Inputs'!N9</x:f>
        <x:v>0.17565995555046018</x:v>
      </x:c>
      <x:c r="I9" s="83" t="str">
        <x:f>'Inputs'!O9</x:f>
        <x:v>0.17565995555046018</x:v>
      </x:c>
      <x:c r="J9" s="84" t="str">
        <x:f>'Inputs'!AB9</x:f>
        <x:v>0.6</x:v>
      </x:c>
      <x:c r="K9" s="85" t="str">
        <x:f>'Inputs'!AC9</x:f>
        <x:v>1.6373884833738848</x:v>
      </x:c>
      <x:c r="L9" s="86" t="str">
        <x:f>'Inputs'!AD9</x:f>
        <x:v>Common scenario elasticity + issuer SEC CapEx/CFO dependency scale</x:v>
      </x:c>
    </x:row>
    <x:row r="10">
      <x:c r="A10" s="77" t="str">
        <x:f>'Inputs'!A10</x:f>
        <x:v>MSFT</x:v>
      </x:c>
      <x:c r="B10" s="77" t="str">
        <x:f>'Inputs'!B10</x:f>
        <x:v>Technology</x:v>
      </x:c>
      <x:c r="C10" s="81" t="str">
        <x:f>'Inputs'!I10</x:f>
        <x:v>0.0</x:v>
      </x:c>
      <x:c r="D10" s="81" t="str">
        <x:f>'Inputs'!J10</x:f>
        <x:v>0.0</x:v>
      </x:c>
      <x:c r="E10" s="82" t="str">
        <x:f>'Inputs'!K10</x:f>
      </x:c>
      <x:c r="F10" s="77" t="str">
        <x:f>'Inputs'!L10</x:f>
        <x:v>Unverified</x:v>
      </x:c>
      <x:c r="G10" s="86" t="str">
        <x:f>'Inputs'!M10</x:f>
        <x:v>Proxy fallback; no issuer facilities in governed match file</x:v>
      </x:c>
      <x:c r="H10" s="83" t="str">
        <x:f>'Inputs'!N10</x:f>
        <x:v>0.18089619337783003</x:v>
      </x:c>
      <x:c r="I10" s="83" t="str">
        <x:f>'Inputs'!O10</x:f>
      </x:c>
      <x:c r="J10" s="84" t="str">
        <x:f>'Inputs'!AB10</x:f>
        <x:v>0.6</x:v>
      </x:c>
      <x:c r="K10" s="85" t="str">
        <x:f>'Inputs'!AC10</x:f>
        <x:v>0.974074998898371</x:v>
      </x:c>
      <x:c r="L10" s="86" t="str">
        <x:f>'Inputs'!AD10</x:f>
        <x:v>Common scenario elasticity + issuer SEC CapEx/CFO dependency scale</x:v>
      </x:c>
    </x:row>
    <x:row r="11">
      <x:c r="A11" s="77" t="str">
        <x:f>'Inputs'!A11</x:f>
        <x:v>NEE</x:v>
      </x:c>
      <x:c r="B11" s="77" t="str">
        <x:f>'Inputs'!B11</x:f>
        <x:v>Utilities</x:v>
      </x:c>
      <x:c r="C11" s="81" t="str">
        <x:f>'Inputs'!I11</x:f>
        <x:v>27.0</x:v>
      </x:c>
      <x:c r="D11" s="81" t="str">
        <x:f>'Inputs'!J11</x:f>
        <x:v>23.0</x:v>
      </x:c>
      <x:c r="E11" s="82" t="str">
        <x:f>'Inputs'!K11</x:f>
        <x:v>85.18518518518519</x:v>
      </x:c>
      <x:c r="F11" s="77" t="str">
        <x:f>'Inputs'!L11</x:f>
        <x:v>High</x:v>
      </x:c>
      <x:c r="G11" s="86" t="str">
        <x:f>'Inputs'!M11</x:f>
        <x:v>Issuer facility-to-FEMA county match</x:v>
      </x:c>
      <x:c r="H11" s="83" t="str">
        <x:f>'Inputs'!N11</x:f>
        <x:v>0.25009029941509914</x:v>
      </x:c>
      <x:c r="I11" s="83" t="str">
        <x:f>'Inputs'!O11</x:f>
        <x:v>0.25009029941509914</x:v>
      </x:c>
      <x:c r="J11" s="84" t="str">
        <x:f>'Inputs'!AB11</x:f>
        <x:v>0.6</x:v>
      </x:c>
      <x:c r="K11" s="85" t="str">
        <x:f>'Inputs'!AC11</x:f>
        <x:v>2.0</x:v>
      </x:c>
      <x:c r="L11" s="86" t="str">
        <x:f>'Inputs'!AD11</x:f>
        <x:v>Common scenario elasticity + issuer SEC CapEx/CFO dependency scale</x:v>
      </x:c>
    </x:row>
    <x:row r="12">
      <x:c r="A12" s="77" t="str">
        <x:f>'Inputs'!A12</x:f>
        <x:v>XOM</x:v>
      </x:c>
      <x:c r="B12" s="77" t="str">
        <x:f>'Inputs'!B12</x:f>
        <x:v>Energy</x:v>
      </x:c>
      <x:c r="C12" s="81" t="str">
        <x:f>'Inputs'!I12</x:f>
        <x:v>68.0</x:v>
      </x:c>
      <x:c r="D12" s="81" t="str">
        <x:f>'Inputs'!J12</x:f>
        <x:v>49.0</x:v>
      </x:c>
      <x:c r="E12" s="82" t="str">
        <x:f>'Inputs'!K12</x:f>
        <x:v>72.05882352941177</x:v>
      </x:c>
      <x:c r="F12" s="77" t="str">
        <x:f>'Inputs'!L12</x:f>
        <x:v>Medium</x:v>
      </x:c>
      <x:c r="G12" s="86" t="str">
        <x:f>'Inputs'!M12</x:f>
        <x:v>Issuer facility-to-FEMA county match</x:v>
      </x:c>
      <x:c r="H12" s="83" t="str">
        <x:f>'Inputs'!N12</x:f>
        <x:v>0.18613243120519987</x:v>
      </x:c>
      <x:c r="I12" s="83" t="str">
        <x:f>'Inputs'!O12</x:f>
        <x:v>0.18613243120519987</x:v>
      </x:c>
      <x:c r="J12" s="84" t="str">
        <x:f>'Inputs'!AB12</x:f>
        <x:v>0.6</x:v>
      </x:c>
      <x:c r="K12" s="85" t="str">
        <x:f>'Inputs'!AC12</x:f>
        <x:v>1.0456609582451413</x:v>
      </x:c>
      <x:c r="L12" s="86" t="str">
        <x:f>'Inputs'!AD12</x:f>
        <x:v>Common scenario elasticity + issuer SEC CapEx/CFO dependency scale</x:v>
      </x:c>
    </x:row>
  </x:sheetData>
  <x:mergeCells>
    <x:mergeCell ref="A1:L1"/>
    <x:mergeCell ref="A2:L2"/>
  </x:mergeCells>
  <x:conditionalFormatting sqref="F5:F12">
    <x:cfRule type="expression" dxfId="0" priority="1">
      <x:formula>$F5="High"</x:formula>
    </x:cfRule>
    <x:cfRule type="expression" dxfId="1" priority="2">
      <x:formula>$F5="Medium"</x:formula>
    </x:cfRule>
    <x:cfRule type="expression" dxfId="2" priority="3">
      <x:formula>$F5="Low"</x:formula>
    </x:cfRule>
    <x:cfRule type="expression" dxfId="3" priority="4">
      <x:formula>$F5="Unverified"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5" hidden="0" customWidth="1"/>
  </x:cols>
  <x:sheetData>
    <x:row r="1" ht="30" customHeight="1">
      <x:c r="A1" s="3" t="str">
        <x:v>Model Export Checks</x:v>
      </x:c>
      <x:c r="B1" s="3"/>
      <x:c r="C1" s="3"/>
      <x:c r="D1" s="3"/>
      <x:c r="E1" s="3"/>
      <x:c r="F1" s="3"/>
      <x:c r="G1" s="3"/>
    </x:row>
    <x:row r="2" ht="34" customHeight="1">
      <x:c r="A2" s="7" t="str">
        <x:v>Checks validate the reporting/export layer; they do not constitute independent model validation or investment approval</x:v>
      </x:c>
      <x:c r="B2" s="7"/>
      <x:c r="C2" s="7"/>
      <x:c r="D2" s="7"/>
      <x:c r="E2" s="7"/>
      <x:c r="F2" s="7"/>
      <x:c r="G2" s="7"/>
    </x:row>
    <x:row r="3">
      <x:c r="A3" s="90" t="str">
        <x:v>Overall export status</x:v>
      </x:c>
      <x:c r="B3" s="90" t="str">
        <x:f>IF(AND(F5="OK",F6="OK",F7="OK",F8="OK",F9="OK",F10="OK",F11="OK",F12="OK",F13="OK",F14="OK"),"OK","REVIEW")</x:f>
        <x:v>OK</x:v>
      </x:c>
    </x:row>
    <x:row r="4" ht="34" customHeight="1">
      <x:c r="A4" s="12" t="str">
        <x:v>Check</x:v>
      </x:c>
      <x:c r="B4" s="12" t="str">
        <x:v>Actual</x:v>
      </x:c>
      <x:c r="C4" s="12" t="str">
        <x:v>Expected</x:v>
      </x:c>
      <x:c r="D4" s="12" t="str">
        <x:v>Difference</x:v>
      </x:c>
      <x:c r="E4" s="12" t="str">
        <x:v>Tolerance</x:v>
      </x:c>
      <x:c r="F4" s="12" t="str">
        <x:v>Status</x:v>
      </x:c>
      <x:c r="G4" s="12" t="str">
        <x:v>Notes</x:v>
      </x:c>
    </x:row>
    <x:row r="5">
      <x:c r="A5" s="14" t="str">
        <x:v>Scenario result rows</x:v>
      </x:c>
      <x:c r="B5" s="87" t="n">
        <x:f>COUNTA('Scenario Results'!$A$5:$A$124)</x:f>
        <x:v>120</x:v>
      </x:c>
      <x:c r="C5" s="87" t="n">
        <x:v>120</x:v>
      </x:c>
      <x:c r="D5" s="87" t="n">
        <x:f>B5-C5</x:f>
        <x:v>0</x:v>
      </x:c>
      <x:c r="E5" s="87" t="n">
        <x:v>0</x:v>
      </x:c>
      <x:c r="F5" s="87" t="str">
        <x:f>IF(ABS(D5)&lt;=E5,"OK","REVIEW")</x:f>
        <x:v>OK</x:v>
      </x:c>
      <x:c r="G5" s="47" t="str">
        <x:v>8 issuers × 5 scenario pairs × 3 cases</x:v>
      </x:c>
    </x:row>
    <x:row r="6">
      <x:c r="A6" s="14" t="str">
        <x:v>Input issuer rows</x:v>
      </x:c>
      <x:c r="B6" s="87" t="n">
        <x:f>COUNTA('Inputs'!$A$5:$A$12)</x:f>
        <x:v>8</x:v>
      </x:c>
      <x:c r="C6" s="87" t="n">
        <x:v>8</x:v>
      </x:c>
      <x:c r="D6" s="87" t="n">
        <x:f>B6-C6</x:f>
        <x:v>0</x:v>
      </x:c>
      <x:c r="E6" s="87" t="n">
        <x:v>0</x:v>
      </x:c>
      <x:c r="F6" s="87" t="str">
        <x:f>IF(ABS(D6)&lt;=E6,"OK","REVIEW")</x:f>
        <x:v>OK</x:v>
      </x:c>
      <x:c r="G6" s="47" t="str">
        <x:v>Eight governed demo issuers</x:v>
      </x:c>
    </x:row>
    <x:row r="7">
      <x:c r="A7" s="14" t="str">
        <x:v>Rows outside R17 release</x:v>
      </x:c>
      <x:c r="B7" s="87" t="n">
        <x:f>COUNTIF('Scenario Results'!$K$5:$K$124,"&lt;&gt;CFP-2026-003-R17-20260804T234500Z")</x:f>
        <x:v>0</x:v>
      </x:c>
      <x:c r="C7" s="87" t="n">
        <x:v>0</x:v>
      </x:c>
      <x:c r="D7" s="87" t="n">
        <x:f>B7-C7</x:f>
        <x:v>0</x:v>
      </x:c>
      <x:c r="E7" s="87" t="n">
        <x:v>0</x:v>
      </x:c>
      <x:c r="F7" s="87" t="str">
        <x:f>IF(ABS(D7)&lt;=E7,"OK","REVIEW")</x:f>
        <x:v>OK</x:v>
      </x:c>
      <x:c r="G7" s="47" t="str">
        <x:v>All outputs must share one governed release</x:v>
      </x:c>
    </x:row>
    <x:row r="8">
      <x:c r="A8" s="14" t="str">
        <x:v>DUK CP Base channel attribution</x:v>
      </x:c>
      <x:c r="B8" s="88" t="n">
        <x:f>SUMIFS('Scenario Results'!$Z$5:$Z$124,'Scenario Results'!$A$5:$A$124,"DUK",'Scenario Results'!$C$5:$C$124,"cp_vs_baseline",'Scenario Results'!$I$5:$I$124,"base")+SUMIFS('Scenario Results'!$AA$5:$AA$124,'Scenario Results'!$A$5:$A$124,"DUK",'Scenario Results'!$C$5:$C$124,"cp_vs_baseline",'Scenario Results'!$I$5:$I$124,"base")+SUMIFS('Scenario Results'!$AB$5:$AB$124,'Scenario Results'!$A$5:$A$124,"DUK",'Scenario Results'!$C$5:$C$124,"cp_vs_baseline",'Scenario Results'!$I$5:$I$124,"base")</x:f>
        <x:v>-4.735551081659631</x:v>
      </x:c>
      <x:c r="C8" s="88" t="n">
        <x:f>SUMIFS('Scenario Results'!$M$5:$M$124,'Scenario Results'!$A$5:$A$124,"DUK",'Scenario Results'!$C$5:$C$124,"cp_vs_baseline",'Scenario Results'!$I$5:$I$124,"base")</x:f>
        <x:v>-4.735551081659628</x:v>
      </x:c>
      <x:c r="D8" s="88" t="n">
        <x:f>B8-C8</x:f>
        <x:v>-3.552713678800501e-15</x:v>
      </x:c>
      <x:c r="E8" s="88" t="n">
        <x:v>0.000001</x:v>
      </x:c>
      <x:c r="F8" s="87" t="str">
        <x:f>IF(ABS(D8)&lt;=E8,"OK","REVIEW")</x:f>
        <x:v>OK</x:v>
      </x:c>
      <x:c r="G8" s="47" t="str">
        <x:v>Three value contributions reconcile to total value impact</x:v>
      </x:c>
    </x:row>
    <x:row r="9">
      <x:c r="A9" s="14" t="str">
        <x:v>DUK CP Base terminal FCFF bridge</x:v>
      </x:c>
      <x:c r="B9" s="68" t="n">
        <x:f>SUMIFS('Scenario Results'!$P$5:$P$124,'Scenario Results'!$A$5:$A$124,"DUK",'Scenario Results'!$C$5:$C$124,"cp_vs_baseline",'Scenario Results'!$I$5:$I$124,"base")-SUMIFS('Scenario Results'!$W$5:$W$124,'Scenario Results'!$A$5:$A$124,"DUK",'Scenario Results'!$C$5:$C$124,"cp_vs_baseline",'Scenario Results'!$I$5:$I$124,"base")-SUMIFS('Scenario Results'!$X$5:$X$124,'Scenario Results'!$A$5:$A$124,"DUK",'Scenario Results'!$C$5:$C$124,"cp_vs_baseline",'Scenario Results'!$I$5:$I$124,"base")-SUMIFS('Scenario Results'!$Y$5:$Y$124,'Scenario Results'!$A$5:$A$124,"DUK",'Scenario Results'!$C$5:$C$124,"cp_vs_baseline",'Scenario Results'!$I$5:$I$124,"base")</x:f>
        <x:v>2354100065.7372284</x:v>
      </x:c>
      <x:c r="C9" s="68" t="n">
        <x:f>SUMIFS('Scenario Results'!$Q$5:$Q$124,'Scenario Results'!$A$5:$A$124,"DUK",'Scenario Results'!$C$5:$C$124,"cp_vs_baseline",'Scenario Results'!$I$5:$I$124,"base")</x:f>
        <x:v>2354100065.7372284</x:v>
      </x:c>
      <x:c r="D9" s="68" t="n">
        <x:f>B9-C9</x:f>
        <x:v>0</x:v>
      </x:c>
      <x:c r="E9" s="68" t="n">
        <x:v>1</x:v>
      </x:c>
      <x:c r="F9" s="87" t="str">
        <x:f>IF(ABS(D9)&lt;=E9,"OK","REVIEW")</x:f>
        <x:v>OK</x:v>
      </x:c>
      <x:c r="G9" s="47" t="str">
        <x:v>2050 reference FCFF less three channel costs equals target FCFF</x:v>
      </x:c>
    </x:row>
    <x:row r="10">
      <x:c r="A10" s="14" t="str">
        <x:v>AAPL physical confidence</x:v>
      </x:c>
      <x:c r="B10" s="87" t="str">
        <x:f>'Inputs'!L5</x:f>
        <x:v>Unverified</x:v>
      </x:c>
      <x:c r="C10" s="87" t="str">
        <x:v>Unverified</x:v>
      </x:c>
      <x:c r="D10" s="87"/>
      <x:c r="E10" s="87"/>
      <x:c r="F10" s="87" t="str">
        <x:f>IF(B10=C10,"OK","REVIEW")</x:f>
        <x:v>OK</x:v>
      </x:c>
      <x:c r="G10" s="47" t="str">
        <x:v>No issuer facilities; FEMA EAL input is a proxy</x:v>
      </x:c>
    </x:row>
    <x:row r="11">
      <x:c r="A11" s="14" t="str">
        <x:v>DUK facility match coverage</x:v>
      </x:c>
      <x:c r="B11" s="89" t="str">
        <x:f>'Inputs'!K9</x:f>
        <x:v>97.95918367346938</x:v>
      </x:c>
      <x:c r="C11" s="89" t="n">
        <x:v>97.95918367346938</x:v>
      </x:c>
      <x:c r="D11" s="89" t="n">
        <x:f>B11-C11</x:f>
        <x:v>0</x:v>
      </x:c>
      <x:c r="E11" s="89" t="n">
        <x:v>0.000001</x:v>
      </x:c>
      <x:c r="F11" s="87" t="str">
        <x:f>IF(ABS(D11)&lt;=E11,"OK","REVIEW")</x:f>
        <x:v>OK</x:v>
      </x:c>
      <x:c r="G11" s="47" t="str">
        <x:v>48 matched FEMA counties / 49 governed facilities</x:v>
      </x:c>
    </x:row>
    <x:row r="12">
      <x:c r="A12" s="14" t="str">
        <x:v>DUK Net Zero target EV floor</x:v>
      </x:c>
      <x:c r="B12" s="87" t="n">
        <x:f>COUNTIFS('Scenario Results'!$A$5:$A$124,"DUK",'Scenario Results'!$C$5:$C$124,"nz_vs_baseline",'Scenario Results'!$I$5:$I$124,"base",'Scenario Results'!$BK$5:$BK$124,TRUE)</x:f>
        <x:v>1</x:v>
      </x:c>
      <x:c r="C12" s="87" t="n">
        <x:v>1</x:v>
      </x:c>
      <x:c r="D12" s="87" t="n">
        <x:f>B12-C12</x:f>
        <x:v>0</x:v>
      </x:c>
      <x:c r="E12" s="87" t="n">
        <x:v>0</x:v>
      </x:c>
      <x:c r="F12" s="87" t="str">
        <x:f>IF(ABS(D12)&lt;=E12,"OK","REVIEW")</x:f>
        <x:v>OK</x:v>
      </x:c>
      <x:c r="G12" s="47" t="str">
        <x:v>Boundary stress remains visible and flagged</x:v>
      </x:c>
    </x:row>
    <x:row r="13">
      <x:c r="A13" s="14" t="str">
        <x:v>Unverified FEMA proxy rows</x:v>
      </x:c>
      <x:c r="B13" s="87" t="n">
        <x:f>COUNTIF('Inputs'!$L$5:$L$12,"Unverified")</x:f>
        <x:v>2</x:v>
      </x:c>
      <x:c r="C13" s="87" t="n">
        <x:v>2</x:v>
      </x:c>
      <x:c r="D13" s="87" t="n">
        <x:f>B13-C13</x:f>
        <x:v>0</x:v>
      </x:c>
      <x:c r="E13" s="87" t="n">
        <x:v>0</x:v>
      </x:c>
      <x:c r="F13" s="87" t="str">
        <x:f>IF(ABS(D13)&lt;=E13,"OK","REVIEW")</x:f>
        <x:v>OK</x:v>
      </x:c>
      <x:c r="G13" s="47" t="str">
        <x:v>AAPL and MSFT; evidence-type column explicitly identifies the proxy</x:v>
      </x:c>
    </x:row>
    <x:row r="14">
      <x:c r="A14" s="14" t="str">
        <x:v>Common Base macro elasticity rows</x:v>
      </x:c>
      <x:c r="B14" s="87" t="n">
        <x:f>COUNTIF('Inputs'!$AB$5:$AB$12,0.6)</x:f>
        <x:v>8</x:v>
      </x:c>
      <x:c r="C14" s="87" t="n">
        <x:v>8</x:v>
      </x:c>
      <x:c r="D14" s="87" t="n">
        <x:f>B14-C14</x:f>
        <x:v>0</x:v>
      </x:c>
      <x:c r="E14" s="87" t="n">
        <x:v>0</x:v>
      </x:c>
      <x:c r="F14" s="87" t="str">
        <x:f>IF(ABS(D14)&lt;=E14,"OK","REVIEW")</x:f>
        <x:v>OK</x:v>
      </x:c>
      <x:c r="G14" s="47" t="str">
        <x:v>Common elasticity; issuer SEC CapEx/CFO dependency scale remains separate</x:v>
      </x:c>
    </x:row>
  </x:sheetData>
  <x:mergeCells>
    <x:mergeCell ref="A1:G1"/>
    <x:mergeCell ref="A2:G2"/>
  </x:mergeCells>
  <x:conditionalFormatting sqref="F5:F14">
    <x:cfRule type="expression" dxfId="4" priority="1">
      <x:formula>$F5="OK"</x:formula>
    </x:cfRule>
    <x:cfRule type="expression" dxfId="5" priority="2">
      <x:formula>$F5="REVIEW"</x:formula>
    </x:cfRule>
  </x:conditionalFormatting>
  <x:conditionalFormatting sqref="B3:B3">
    <x:cfRule type="expression" dxfId="6" priority="3">
      <x:formula>$B$3="OK"</x:formula>
    </x:cfRule>
    <x:cfRule type="expression" dxfId="7" priority="4">
      <x:formula>$B$3="REVIEW"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70" hidden="0" customWidth="1"/>
    <x:col min="4" max="4" width="38" hidden="0" customWidth="1"/>
    <x:col min="5" max="5" width="65" hidden="0" customWidth="1"/>
    <x:col min="6" max="6" width="68" hidden="0" customWidth="1"/>
  </x:cols>
  <x:sheetData>
    <x:row r="1" ht="30" customHeight="1">
      <x:c r="A1" s="3" t="str">
        <x:v>Source Audit</x:v>
      </x:c>
      <x:c r="B1" s="3"/>
      <x:c r="C1" s="3"/>
      <x:c r="D1" s="3"/>
      <x:c r="E1" s="3"/>
      <x:c r="F1" s="3"/>
    </x:row>
    <x:row r="2" ht="34" customHeight="1">
      <x:c r="A2" s="7" t="str">
        <x:v>URLs and retained-file references used by the R17 evidence layer; blank hashes mean the source was referenced but not retained in the release</x:v>
      </x:c>
      <x:c r="B2" s="7"/>
      <x:c r="C2" s="7"/>
      <x:c r="D2" s="7"/>
      <x:c r="E2" s="7"/>
      <x:c r="F2" s="7"/>
    </x:row>
    <x:row r="4" ht="34" customHeight="1">
      <x:c r="A4" s="12" t="str">
        <x:v>release_id</x:v>
      </x:c>
      <x:c r="B4" s="12" t="str">
        <x:v>source</x:v>
      </x:c>
      <x:c r="C4" s="12" t="str">
        <x:v>url</x:v>
      </x:c>
      <x:c r="D4" s="12" t="str">
        <x:v>allowed_use</x:v>
      </x:c>
      <x:c r="E4" s="12" t="str">
        <x:v>raw_path</x:v>
      </x:c>
      <x:c r="F4" s="12" t="str">
        <x:v>sha256</x:v>
      </x:c>
    </x:row>
    <x:row r="5">
      <x:c r="A5" s="14" t="str">
        <x:v>CFP-2026-003-R17-20260804T234500Z</x:v>
      </x:c>
      <x:c r="B5" s="47" t="str">
        <x:v>Apple 2025 Environmental Progress Report</x:v>
      </x:c>
      <x:c r="C5" s="47" t="str">
        <x:v>https://www.apple.com/environment/pdf/Apple_Environmental_Progress_Report_2025.pdf</x:v>
      </x:c>
      <x:c r="D5" s="47" t="str">
        <x:v>issuer-reported climate evidence</x:v>
      </x:c>
      <x:c r="E5" s="47" t="str">
        <x:v>data/releases/CFP-2026-003-R17-20260804T234500Z/raw/issuer_reports/apple.pdf</x:v>
      </x:c>
      <x:c r="F5" s="47" t="str">
        <x:v>597676e8b48ac45529303abc7ef47425ca62ff4efc3a375962a077a033525f74</x:v>
      </x:c>
    </x:row>
    <x:row r="6">
      <x:c r="A6" s="14" t="str">
        <x:v>CFP-2026-003-R17-20260804T234500Z</x:v>
      </x:c>
      <x:c r="B6" s="47" t="str">
        <x:v>Caterpillar 2025 Sustainability Report</x:v>
      </x:c>
      <x:c r="C6" s="47" t="str">
        <x:v>https://s7d2.scene7.com/is/content/Caterpillar/CM20260508-cac43-ec231</x:v>
      </x:c>
      <x:c r="D6" s="47" t="str">
        <x:v>issuer-reported climate evidence</x:v>
      </x:c>
      <x:c r="E6" s="47" t="str">
        <x:v>data/releases/CFP-2026-003-R17-20260804T234500Z/raw/issuer_reports/cat-data.pdf</x:v>
      </x:c>
      <x:c r="F6" s="47" t="str">
        <x:v>2389b874742b4a3b274292f5caa60152648ff99e1140513d4fdee88fd3ddb52e</x:v>
      </x:c>
    </x:row>
    <x:row r="7">
      <x:c r="A7" s="14" t="str">
        <x:v>CFP-2026-003-R17-20260804T234500Z</x:v>
      </x:c>
      <x:c r="B7" s="47" t="str">
        <x:v>Chevron 2024 GHG Assurance Statement</x:v>
      </x:c>
      <x:c r="C7" s="47" t="str">
        <x:v>https://www.chevron.com/-/media/chevron/sustainability/documents/ghg-Assurance-Statement-2024.pdf</x:v>
      </x:c>
      <x:c r="D7" s="47" t="str">
        <x:v>issuer-reported climate evidence</x:v>
      </x:c>
      <x:c r="E7" s="47" t="str"/>
      <x:c r="F7" s="47" t="str"/>
    </x:row>
    <x:row r="8">
      <x:c r="A8" s="14" t="str">
        <x:v>CFP-2026-003-R17-20260804T234500Z</x:v>
      </x:c>
      <x:c r="B8" s="47" t="str">
        <x:v>Deere 2024 Sustainability Disclosure</x:v>
      </x:c>
      <x:c r="C8" s="47" t="str">
        <x:v>https://www.deere.com/assets/pdfs/common/our-company/sustainability/data-book-2024.pdf</x:v>
      </x:c>
      <x:c r="D8" s="47" t="str">
        <x:v>issuer-reported climate evidence</x:v>
      </x:c>
      <x:c r="E8" s="47" t="str">
        <x:v>data/releases/CFP-2026-003-R17-20260804T234500Z/raw/issuer_reports/deere-2024.pdf</x:v>
      </x:c>
      <x:c r="F8" s="47" t="str">
        <x:v>8305e6d952db8e0494c3081c977311819eeb022735a3fc0179d0f8c9ed56fffe</x:v>
      </x:c>
    </x:row>
    <x:row r="9">
      <x:c r="A9" s="14" t="str">
        <x:v>CFP-2026-003-R17-20260804T234500Z</x:v>
      </x:c>
      <x:c r="B9" s="47" t="str">
        <x:v>Duke Energy 2025 Sustainability Metrics</x:v>
      </x:c>
      <x:c r="C9" s="47" t="str">
        <x:v>https://s201.q4cdn.com/583395453/files/doc_downloads/2026/2025-Sustainability-Metrics-Center.pdf</x:v>
      </x:c>
      <x:c r="D9" s="47" t="str">
        <x:v>issuer-reported climate evidence</x:v>
      </x:c>
      <x:c r="E9" s="47" t="str">
        <x:v>data/releases/CFP-2026-003-R17-20260804T234500Z/raw/issuer_reports/duk-metrics.pdf</x:v>
      </x:c>
      <x:c r="F9" s="47" t="str">
        <x:v>6504844f93ae951a006b5495fb2120fc5cb2af5d6fb5c7f60f19f9d558898213</x:v>
      </x:c>
    </x:row>
    <x:row r="10">
      <x:c r="A10" s="14" t="str">
        <x:v>CFP-2026-003-R17-20260804T234500Z</x:v>
      </x:c>
      <x:c r="B10" s="47" t="str">
        <x:v>Microsoft 2025 Environmental Data Fact Sheet</x:v>
      </x:c>
      <x:c r="C10" s="47" t="str">
        <x:v>https://aka.ms/SustainabilityFactsheet2025</x:v>
      </x:c>
      <x:c r="D10" s="47" t="str">
        <x:v>issuer-reported climate evidence</x:v>
      </x:c>
      <x:c r="E10" s="47" t="str">
        <x:v>data/releases/CFP-2026-003-R17-20260804T234500Z/raw/issuer_reports/microsoft-fact-sheet.pdf</x:v>
      </x:c>
      <x:c r="F10" s="47" t="str">
        <x:v>9283b1e85005a050fb7732c2eb25da6918bf46cafe5e6903d81063c81f466174</x:v>
      </x:c>
    </x:row>
    <x:row r="11">
      <x:c r="A11" s="14" t="str">
        <x:v>CFP-2026-003-R17-20260804T234500Z</x:v>
      </x:c>
      <x:c r="B11" s="47" t="str">
        <x:v>NextEra Energy 2025 Data Appendix</x:v>
      </x:c>
      <x:c r="C11" s="47" t="str">
        <x:v>https://www.investor.nexteraenergy.com/~/media/Files/N/NEE-IR/Sustainability/2025/Data%20Appendix.pdf</x:v>
      </x:c>
      <x:c r="D11" s="47" t="str">
        <x:v>issuer-reported climate evidence</x:v>
      </x:c>
      <x:c r="E11" s="47" t="str">
        <x:v>data/releases/CFP-2026-003-R17-20260804T234500Z/raw/issuer_reports/nextera.pdf</x:v>
      </x:c>
      <x:c r="F11" s="47" t="str">
        <x:v>f544037674f10f3543698d57168fa483438aa490623c864e8afb9a7565b8d320</x:v>
      </x:c>
    </x:row>
    <x:row r="12">
      <x:c r="A12" s="14" t="str">
        <x:v>CFP-2026-003-R17-20260804T234500Z</x:v>
      </x:c>
      <x:c r="B12" s="47" t="str">
        <x:v>ExxonMobil 2025 Advancing Climate Solutions</x:v>
      </x:c>
      <x:c r="C12" s="47" t="str">
        <x:v>https://corporate.exxonmobil.com/-/media/global/files/advancing-climate-solutions/2025/advancing-climate-solutions-report.pdf</x:v>
      </x:c>
      <x:c r="D12" s="47" t="str">
        <x:v>issuer-reported climate evidence</x:v>
      </x:c>
      <x:c r="E12" s="47" t="str">
        <x:v>data/releases/CFP-2026-003-R17-20260804T234500Z/raw/issuer_reports/exxon-2025.pdf</x:v>
      </x:c>
      <x:c r="F12" s="47" t="str">
        <x:v>9789adf26cfade347df72b4e6387d3c4a95e38c49ad97f97d888d82274cabd6c</x:v>
      </x:c>
    </x:row>
    <x:row r="13">
      <x:c r="A13" s="14" t="str">
        <x:v>CFP-2026-003-R17-20260804T234500Z</x:v>
      </x:c>
      <x:c r="B13" s="47" t="str">
        <x:v>SEC Companyfacts</x:v>
      </x:c>
      <x:c r="C13" s="47" t="str">
        <x:v>https://data.sec.gov/api/xbrl/companyfacts/</x:v>
      </x:c>
      <x:c r="D13" s="47" t="str">
        <x:v>issuer net PP&amp;E exposure base</x:v>
      </x:c>
      <x:c r="E13" s="47" t="str"/>
      <x:c r="F13" s="47" t="str"/>
    </x:row>
    <x:row r="14">
      <x:c r="A14" s="14" t="str">
        <x:v>CFP-2026-003-R17-20260804T234500Z</x:v>
      </x:c>
      <x:c r="B14" s="47" t="str">
        <x:v>FEMA National Risk Index</x:v>
      </x:c>
      <x:c r="C14" s="47" t="str">
        <x:v>https://services.arcgis.com/XG15cJAlne2vxtgt/arcgis/rest/services/National_Risk_Index_Counties/FeatureServer/0</x:v>
      </x:c>
      <x:c r="D14" s="47" t="str">
        <x:v>county building expected annual loss rate</x:v>
      </x:c>
      <x:c r="E14" s="47" t="str"/>
      <x:c r="F14" s="47" t="str"/>
    </x:row>
    <x:row r="15">
      <x:c r="A15" s="14" t="str">
        <x:v>CFP-2026-003-R17-20260804T234500Z</x:v>
      </x:c>
      <x:c r="B15" s="47" t="str">
        <x:v>NGFS Climate Impact Explorer</x:v>
      </x:c>
      <x:c r="C15" s="47" t="str">
        <x:v>https://climate-impact-explorer.climateanalytics.org/data-download/</x:v>
      </x:c>
      <x:c r="D15" s="47" t="str">
        <x:v>scenario-conditioned chronic physical pathway</x:v>
      </x:c>
      <x:c r="E15" s="47" t="str"/>
      <x:c r="F15" s="47" t="str"/>
    </x:row>
  </x:sheetData>
  <x:mergeCells>
    <x:mergeCell ref="A1:F1"/>
    <x:mergeCell ref="A2:F2"/>
  </x:mergeCells>
  <x:pageMargins left="0.7" right="0.7" top="0.75" bottom="0.75" header="0.3" footer="0.3"/>
</x:worksheet>
</file>